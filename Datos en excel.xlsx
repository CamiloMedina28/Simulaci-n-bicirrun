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edi\OneDrive\Escritorio\modelos\"/>
    </mc:Choice>
  </mc:AlternateContent>
  <xr:revisionPtr revIDLastSave="0" documentId="13_ncr:1_{9D939F32-5F53-41B8-8EA0-1F96B367AC63}" xr6:coauthVersionLast="47" xr6:coauthVersionMax="47" xr10:uidLastSave="{00000000-0000-0000-0000-000000000000}"/>
  <bookViews>
    <workbookView xWindow="-108" yWindow="-108" windowWidth="23256" windowHeight="12456" activeTab="1" xr2:uid="{C5858227-68FA-4971-A13C-0E196BDB9152}"/>
  </bookViews>
  <sheets>
    <sheet name="DATOS" sheetId="1" r:id="rId1"/>
    <sheet name="Modelo Gaussiano" sheetId="2" r:id="rId2"/>
    <sheet name="HORAS PICO EN ESTACIONES" sheetId="3" r:id="rId3"/>
    <sheet name="Matrices de probabilida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H25" i="4"/>
  <c r="H26" i="4"/>
  <c r="H27" i="4"/>
  <c r="H23" i="4"/>
  <c r="H14" i="4"/>
  <c r="H15" i="4"/>
  <c r="H16" i="4"/>
  <c r="H17" i="4"/>
  <c r="H13" i="4"/>
  <c r="H4" i="4"/>
  <c r="H5" i="4"/>
  <c r="H6" i="4"/>
  <c r="H7" i="4"/>
  <c r="H3" i="4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A392" i="2"/>
  <c r="A393" i="2" s="1"/>
  <c r="A394" i="2" s="1"/>
  <c r="A395" i="2" s="1"/>
  <c r="A396" i="2" s="1"/>
  <c r="A397" i="2" s="1"/>
  <c r="A398" i="2" s="1"/>
  <c r="A399" i="2" s="1"/>
  <c r="A400" i="2" s="1"/>
  <c r="A401" i="2" s="1"/>
  <c r="A384" i="2"/>
  <c r="A385" i="2" s="1"/>
  <c r="A386" i="2" s="1"/>
  <c r="A387" i="2" s="1"/>
  <c r="A388" i="2" s="1"/>
  <c r="A389" i="2" s="1"/>
  <c r="A390" i="2" s="1"/>
  <c r="A391" i="2" s="1"/>
  <c r="A374" i="2"/>
  <c r="A375" i="2" s="1"/>
  <c r="A376" i="2" s="1"/>
  <c r="A377" i="2" s="1"/>
  <c r="A378" i="2" s="1"/>
  <c r="A379" i="2" s="1"/>
  <c r="A380" i="2" s="1"/>
  <c r="A381" i="2" s="1"/>
  <c r="A382" i="2" s="1"/>
  <c r="A383" i="2" s="1"/>
  <c r="A359" i="2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43" i="2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105" i="2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52" i="2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3" i="2"/>
  <c r="A14" i="2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12" i="2"/>
  <c r="B12" i="2" s="1"/>
  <c r="B11" i="2"/>
  <c r="M26" i="1"/>
  <c r="M27" i="1"/>
  <c r="M28" i="1"/>
  <c r="M29" i="1"/>
  <c r="M25" i="1"/>
  <c r="L26" i="1"/>
  <c r="L27" i="1"/>
  <c r="L28" i="1"/>
  <c r="L29" i="1"/>
  <c r="L25" i="1"/>
  <c r="K26" i="1"/>
  <c r="K27" i="1"/>
  <c r="K28" i="1"/>
  <c r="K29" i="1"/>
  <c r="K25" i="1"/>
  <c r="J26" i="1"/>
  <c r="J27" i="1"/>
  <c r="J28" i="1"/>
  <c r="J29" i="1"/>
  <c r="J25" i="1"/>
  <c r="I26" i="1"/>
  <c r="I27" i="1"/>
  <c r="I28" i="1"/>
  <c r="I29" i="1"/>
  <c r="I25" i="1"/>
  <c r="H30" i="1"/>
  <c r="H29" i="1"/>
  <c r="H28" i="1"/>
  <c r="H27" i="1"/>
  <c r="H26" i="1"/>
  <c r="H25" i="1"/>
  <c r="F18" i="1"/>
  <c r="G18" i="1"/>
  <c r="H18" i="1"/>
  <c r="I18" i="1"/>
  <c r="E18" i="1"/>
  <c r="B18" i="1"/>
  <c r="J9" i="1"/>
  <c r="J5" i="1"/>
  <c r="J6" i="1"/>
  <c r="J7" i="1"/>
  <c r="J8" i="1"/>
  <c r="J4" i="1"/>
  <c r="C9" i="1"/>
  <c r="D9" i="1"/>
  <c r="E9" i="1"/>
  <c r="F9" i="1"/>
  <c r="G9" i="1"/>
  <c r="H9" i="1"/>
  <c r="I9" i="1"/>
  <c r="B9" i="1"/>
  <c r="A30" i="2" l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B29" i="2"/>
  <c r="B14" i="2"/>
  <c r="B25" i="2"/>
  <c r="B22" i="2"/>
  <c r="B21" i="2"/>
  <c r="B26" i="2"/>
  <c r="B24" i="2"/>
  <c r="B20" i="2"/>
  <c r="B23" i="2"/>
  <c r="B19" i="2"/>
  <c r="B17" i="2"/>
  <c r="B13" i="2"/>
  <c r="B16" i="2"/>
  <c r="B28" i="2"/>
  <c r="B18" i="2"/>
  <c r="B15" i="2"/>
  <c r="B27" i="2"/>
  <c r="B30" i="2" l="1"/>
  <c r="B31" i="2" l="1"/>
  <c r="B32" i="2" l="1"/>
  <c r="B33" i="2" l="1"/>
  <c r="B34" i="2" l="1"/>
  <c r="B35" i="2" l="1"/>
  <c r="B36" i="2" l="1"/>
  <c r="B37" i="2" l="1"/>
  <c r="B38" i="2" l="1"/>
  <c r="B39" i="2" l="1"/>
  <c r="B40" i="2" l="1"/>
  <c r="B41" i="2" l="1"/>
  <c r="B42" i="2" l="1"/>
  <c r="B43" i="2" l="1"/>
  <c r="B44" i="2" l="1"/>
  <c r="B45" i="2" l="1"/>
  <c r="B46" i="2" l="1"/>
  <c r="B47" i="2" l="1"/>
  <c r="B48" i="2" l="1"/>
  <c r="B49" i="2" l="1"/>
  <c r="B51" i="2" l="1"/>
  <c r="B50" i="2"/>
</calcChain>
</file>

<file path=xl/sharedStrings.xml><?xml version="1.0" encoding="utf-8"?>
<sst xmlns="http://schemas.openxmlformats.org/spreadsheetml/2006/main" count="138" uniqueCount="62">
  <si>
    <t>Estación</t>
  </si>
  <si>
    <t>Calle 26</t>
  </si>
  <si>
    <t>Calle 45</t>
  </si>
  <si>
    <t>Calle 53</t>
  </si>
  <si>
    <t>CYT</t>
  </si>
  <si>
    <t>Uriel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</si>
  <si>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</si>
  <si>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</si>
  <si>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</si>
  <si>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</si>
  <si>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</si>
  <si>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</si>
  <si>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</si>
  <si>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</si>
  <si>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Mes</t>
  </si>
  <si>
    <t>TOTAL</t>
  </si>
  <si>
    <t>Demanda mensual desde Enero hasta Agosto</t>
  </si>
  <si>
    <t>Dia</t>
  </si>
  <si>
    <t>Lunes</t>
  </si>
  <si>
    <t>Martes</t>
  </si>
  <si>
    <t>Miercoles</t>
  </si>
  <si>
    <t>Jueves</t>
  </si>
  <si>
    <t>Viernes</t>
  </si>
  <si>
    <t>Solicitud por dia de toda la flota</t>
  </si>
  <si>
    <t>Día</t>
  </si>
  <si>
    <t>Uso - calle 26</t>
  </si>
  <si>
    <t>Uso - Calle 45</t>
  </si>
  <si>
    <t>Uso - Calle 53</t>
  </si>
  <si>
    <t>Uso por estaciones y dia</t>
  </si>
  <si>
    <t>Demanda</t>
  </si>
  <si>
    <t>Demanda diaria por
 estación</t>
  </si>
  <si>
    <t>Cyt</t>
  </si>
  <si>
    <t>TOTAL (1)</t>
  </si>
  <si>
    <t>Viajes por dia estimados según demanda</t>
  </si>
  <si>
    <t>Horas pico</t>
  </si>
  <si>
    <t>Suma</t>
  </si>
  <si>
    <t>Promedio</t>
  </si>
  <si>
    <t>Total</t>
  </si>
  <si>
    <t>Recuento</t>
  </si>
  <si>
    <t>Amplitud de 
hora pico</t>
  </si>
  <si>
    <t>Peso de horas
pico</t>
  </si>
  <si>
    <t>Horas</t>
  </si>
  <si>
    <t>Valor en distribucion</t>
  </si>
  <si>
    <t>Tendencias observadas:</t>
  </si>
  <si>
    <r>
      <t xml:space="preserve">Alta demanda </t>
    </r>
    <r>
      <rPr>
        <b/>
        <sz val="11"/>
        <color theme="1"/>
        <rFont val="Aptos Narrow"/>
        <family val="2"/>
        <scheme val="minor"/>
      </rPr>
      <t>muy temprano</t>
    </r>
    <r>
      <rPr>
        <sz val="11"/>
        <color theme="1"/>
        <rFont val="Aptos Narrow"/>
        <family val="2"/>
        <scheme val="minor"/>
      </rPr>
      <t xml:space="preserve"> desde Calle 45 y Calle 26 hacia Uriel (6:00–7:00).</t>
    </r>
  </si>
  <si>
    <r>
      <t xml:space="preserve">A mediodía (11–13): </t>
    </r>
    <r>
      <rPr>
        <b/>
        <sz val="11"/>
        <color theme="1"/>
        <rFont val="Aptos Narrow"/>
        <family val="2"/>
        <scheme val="minor"/>
      </rPr>
      <t>salida fuerte desde Uriel hacia 45 y 26</t>
    </r>
    <r>
      <rPr>
        <sz val="11"/>
        <color theme="1"/>
        <rFont val="Aptos Narrow"/>
        <family val="2"/>
        <scheme val="minor"/>
      </rPr>
      <t>.</t>
    </r>
  </si>
  <si>
    <t>Hacia las 14–16: vuelve a aumentar la llegada desde 45 y 26.</t>
  </si>
  <si>
    <r>
      <t xml:space="preserve">Picos fuertes a las </t>
    </r>
    <r>
      <rPr>
        <b/>
        <sz val="11"/>
        <color theme="1"/>
        <rFont val="Aptos Narrow"/>
        <family val="2"/>
        <scheme val="minor"/>
      </rPr>
      <t>9, 11 y 13</t>
    </r>
    <r>
      <rPr>
        <sz val="11"/>
        <color theme="1"/>
        <rFont val="Aptos Narrow"/>
        <family val="2"/>
        <scheme val="minor"/>
      </rPr>
      <t>, todos con pesos altos.</t>
    </r>
  </si>
  <si>
    <t>Mantiene actividad estable todo el día.</t>
  </si>
  <si>
    <t>Es un productor de demanda (usuarios sacan bicicletas).</t>
  </si>
  <si>
    <t>Demanda sostenida desde 6:45, 9:00, 11:00, 13:00, 14:00</t>
  </si>
  <si>
    <t>Pesos entre 0.5 y 0.8 → flujo constante hacia Uriel.</t>
  </si>
  <si>
    <t>Estructura parecida a Calle 45</t>
  </si>
  <si>
    <t>Picos fuertes a las 9, 11 y 14</t>
  </si>
  <si>
    <t>Peso fuerte a las 6:45 → llegada temprana a Uriel.</t>
  </si>
  <si>
    <t>origen/
destino</t>
  </si>
  <si>
    <t>Matriz de probabilidades jornada de la mañana</t>
  </si>
  <si>
    <t>Matriz de probabilidades jornada de la media tarde</t>
  </si>
  <si>
    <t>Matriz de probabilidades jornada de la tarde</t>
  </si>
  <si>
    <t>6 9</t>
  </si>
  <si>
    <t>9 13</t>
  </si>
  <si>
    <t>13 16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</si>
</sst>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9CDCFE"/>
      <name val="Consolas"/>
      <family val="3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Fill="1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right" wrapText="1"/>
    </xf>
    <xf numFmtId="0" fontId="4" fillId="2" borderId="0" xfId="0" applyFont="1" applyFill="1" applyAlignment="1">
      <alignment wrapText="1" indent="1"/>
    </xf>
    <xf numFmtId="0" fontId="4" fillId="2" borderId="0" xfId="0" applyFont="1" applyFill="1" applyAlignment="1">
      <alignment horizontal="right" wrapText="1"/>
    </xf>
    <xf numFmtId="0" fontId="4" fillId="2" borderId="0" xfId="0" applyFont="1" applyFill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5" xfId="0" applyBorder="1"/>
    <xf numFmtId="0" fontId="5" fillId="0" borderId="0" xfId="0" applyFont="1" applyAlignment="1">
      <alignment vertical="center"/>
    </xf>
    <xf numFmtId="0" fontId="0" fillId="0" borderId="0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1" xfId="0" applyFont="1" applyBorder="1" applyAlignment="1">
      <alignment horizontal="center"/>
    </xf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'Modelo Gaussiano'!$B$10</c:f>
              <c:strCache>
                <c:ptCount val="1"/>
                <c:pt idx="0">
                  <c:v>Valor en distribucion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Gaussiano'!$A$11:$A$51</c:f>
              <c:numCache>
                <c:formatCode>General</c:formatCode>
                <c:ptCount val="41"/>
                <c:pt idx="0">
                  <c:v>6.3</c:v>
                </c:pt>
                <c:pt idx="1">
                  <c:v>6.3250000000000002</c:v>
                </c:pt>
                <c:pt idx="2">
                  <c:v>6.3500000000000005</c:v>
                </c:pt>
                <c:pt idx="3">
                  <c:v>6.3750000000000009</c:v>
                </c:pt>
                <c:pt idx="4">
                  <c:v>6.4000000000000012</c:v>
                </c:pt>
                <c:pt idx="5">
                  <c:v>6.4250000000000016</c:v>
                </c:pt>
                <c:pt idx="6">
                  <c:v>6.450000000000002</c:v>
                </c:pt>
                <c:pt idx="7">
                  <c:v>6.4750000000000023</c:v>
                </c:pt>
                <c:pt idx="8">
                  <c:v>6.5000000000000027</c:v>
                </c:pt>
                <c:pt idx="9">
                  <c:v>6.525000000000003</c:v>
                </c:pt>
                <c:pt idx="10">
                  <c:v>6.5500000000000034</c:v>
                </c:pt>
                <c:pt idx="11">
                  <c:v>6.5750000000000037</c:v>
                </c:pt>
                <c:pt idx="12">
                  <c:v>6.6000000000000041</c:v>
                </c:pt>
                <c:pt idx="13">
                  <c:v>6.6250000000000044</c:v>
                </c:pt>
                <c:pt idx="14">
                  <c:v>6.6500000000000048</c:v>
                </c:pt>
                <c:pt idx="15">
                  <c:v>6.6750000000000052</c:v>
                </c:pt>
                <c:pt idx="16">
                  <c:v>6.7000000000000055</c:v>
                </c:pt>
                <c:pt idx="17">
                  <c:v>6.7250000000000059</c:v>
                </c:pt>
                <c:pt idx="18">
                  <c:v>6.7500000000000062</c:v>
                </c:pt>
                <c:pt idx="19">
                  <c:v>6.7750000000000066</c:v>
                </c:pt>
                <c:pt idx="20">
                  <c:v>6.8000000000000069</c:v>
                </c:pt>
                <c:pt idx="21">
                  <c:v>6.8250000000000073</c:v>
                </c:pt>
                <c:pt idx="22">
                  <c:v>6.8500000000000076</c:v>
                </c:pt>
                <c:pt idx="23">
                  <c:v>6.875000000000008</c:v>
                </c:pt>
                <c:pt idx="24">
                  <c:v>6.9000000000000083</c:v>
                </c:pt>
                <c:pt idx="25">
                  <c:v>6.9250000000000087</c:v>
                </c:pt>
                <c:pt idx="26">
                  <c:v>6.9500000000000091</c:v>
                </c:pt>
                <c:pt idx="27">
                  <c:v>6.9750000000000094</c:v>
                </c:pt>
                <c:pt idx="28">
                  <c:v>7.0000000000000098</c:v>
                </c:pt>
                <c:pt idx="29">
                  <c:v>7.0250000000000101</c:v>
                </c:pt>
                <c:pt idx="30">
                  <c:v>7.0500000000000105</c:v>
                </c:pt>
                <c:pt idx="31">
                  <c:v>7.0750000000000108</c:v>
                </c:pt>
                <c:pt idx="32">
                  <c:v>7.1000000000000112</c:v>
                </c:pt>
                <c:pt idx="33">
                  <c:v>7.1250000000000115</c:v>
                </c:pt>
                <c:pt idx="34">
                  <c:v>7.1500000000000119</c:v>
                </c:pt>
                <c:pt idx="35">
                  <c:v>7.1750000000000123</c:v>
                </c:pt>
                <c:pt idx="36">
                  <c:v>7.2000000000000126</c:v>
                </c:pt>
                <c:pt idx="37">
                  <c:v>7.225000000000013</c:v>
                </c:pt>
                <c:pt idx="38">
                  <c:v>7.2500000000000133</c:v>
                </c:pt>
                <c:pt idx="39">
                  <c:v>7.2750000000000137</c:v>
                </c:pt>
                <c:pt idx="40">
                  <c:v>7.300000000000014</c:v>
                </c:pt>
              </c:numCache>
            </c:numRef>
          </c:cat>
          <c:val>
            <c:numRef>
              <c:f>'Modelo Gaussiano'!$B$11:$B$51</c:f>
              <c:numCache>
                <c:formatCode>General</c:formatCode>
                <c:ptCount val="41"/>
                <c:pt idx="0">
                  <c:v>7.9559508718227576E-2</c:v>
                </c:pt>
                <c:pt idx="1">
                  <c:v>0.10457900128900169</c:v>
                </c:pt>
                <c:pt idx="2">
                  <c:v>0.13533528323661345</c:v>
                </c:pt>
                <c:pt idx="3">
                  <c:v>0.17242162389375434</c:v>
                </c:pt>
                <c:pt idx="4">
                  <c:v>0.21626516682988978</c:v>
                </c:pt>
                <c:pt idx="5">
                  <c:v>0.26705183522634696</c:v>
                </c:pt>
                <c:pt idx="6">
                  <c:v>0.32465246735835468</c:v>
                </c:pt>
                <c:pt idx="7">
                  <c:v>0.38855812751237057</c:v>
                </c:pt>
                <c:pt idx="8">
                  <c:v>0.45783336177162243</c:v>
                </c:pt>
                <c:pt idx="9">
                  <c:v>0.53109599103535532</c:v>
                </c:pt>
                <c:pt idx="10">
                  <c:v>0.60653065971264575</c:v>
                </c:pt>
                <c:pt idx="11">
                  <c:v>0.68194075119036324</c:v>
                </c:pt>
                <c:pt idx="12">
                  <c:v>0.75483960198902644</c:v>
                </c:pt>
                <c:pt idx="13">
                  <c:v>0.82257756239869084</c:v>
                </c:pt>
                <c:pt idx="14">
                  <c:v>0.88249690258463442</c:v>
                </c:pt>
                <c:pt idx="15">
                  <c:v>0.93210249235959097</c:v>
                </c:pt>
                <c:pt idx="16">
                  <c:v>0.96923323447645426</c:v>
                </c:pt>
                <c:pt idx="17">
                  <c:v>0.99221793826044247</c:v>
                </c:pt>
                <c:pt idx="18">
                  <c:v>1.0000000000003662</c:v>
                </c:pt>
                <c:pt idx="19">
                  <c:v>0.99221793826092108</c:v>
                </c:pt>
                <c:pt idx="20">
                  <c:v>0.96923323447759591</c:v>
                </c:pt>
                <c:pt idx="21">
                  <c:v>0.93210249236182874</c:v>
                </c:pt>
                <c:pt idx="22">
                  <c:v>0.88249690258879776</c:v>
                </c:pt>
                <c:pt idx="23">
                  <c:v>0.82257756240628399</c:v>
                </c:pt>
                <c:pt idx="24">
                  <c:v>0.75483960200272215</c:v>
                </c:pt>
                <c:pt idx="25">
                  <c:v>0.6819407512148562</c:v>
                </c:pt>
                <c:pt idx="26">
                  <c:v>0.6065306597561152</c:v>
                </c:pt>
                <c:pt idx="27">
                  <c:v>0.53109599111194383</c:v>
                </c:pt>
                <c:pt idx="28">
                  <c:v>0.45783336190560425</c:v>
                </c:pt>
                <c:pt idx="29">
                  <c:v>0.38855812774510851</c:v>
                </c:pt>
                <c:pt idx="30">
                  <c:v>0.32465246775981943</c:v>
                </c:pt>
                <c:pt idx="31">
                  <c:v>0.26705183591404547</c:v>
                </c:pt>
                <c:pt idx="32">
                  <c:v>0.21626516799972684</c:v>
                </c:pt>
                <c:pt idx="33">
                  <c:v>0.17242162586996265</c:v>
                </c:pt>
                <c:pt idx="34">
                  <c:v>0.13533528655190727</c:v>
                </c:pt>
                <c:pt idx="35">
                  <c:v>0.10457900681224638</c:v>
                </c:pt>
                <c:pt idx="36">
                  <c:v>7.9559517856204298E-2</c:v>
                </c:pt>
                <c:pt idx="37">
                  <c:v>5.9587333775750123E-2</c:v>
                </c:pt>
                <c:pt idx="38">
                  <c:v>4.3936958120416369E-2</c:v>
                </c:pt>
                <c:pt idx="39">
                  <c:v>3.1894833055761219E-2</c:v>
                </c:pt>
                <c:pt idx="40">
                  <c:v>2.279424475583644E-2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3D-48C7-8552-D8C0FA0C1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761631"/>
        <c:axId val="1022243424"/>
      </c:lineChart>
      <c:catAx>
        <c:axId val="23476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2243424"/>
        <c:crosses val="autoZero"/>
        <c:auto val="1"/>
        <c:lblAlgn val="ctr"/>
        <c:lblOffset val="100"/>
        <c:noMultiLvlLbl val="0"/>
      </c:catAx>
      <c:valAx>
        <c:axId val="10222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476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'Modelo Gaussiano'!$B$10</c:f>
              <c:strCache>
                <c:ptCount val="1"/>
                <c:pt idx="0">
                  <c:v>Valor en distribucion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'Modelo Gaussiano'!$A$11:$A$401</c:f>
              <c:numCache>
                <c:formatCode>General</c:formatCode>
                <c:ptCount val="391"/>
                <c:pt idx="0">
                  <c:v>6.3</c:v>
                </c:pt>
                <c:pt idx="1">
                  <c:v>6.3250000000000002</c:v>
                </c:pt>
                <c:pt idx="2">
                  <c:v>6.3500000000000005</c:v>
                </c:pt>
                <c:pt idx="3">
                  <c:v>6.3750000000000009</c:v>
                </c:pt>
                <c:pt idx="4">
                  <c:v>6.4000000000000012</c:v>
                </c:pt>
                <c:pt idx="5">
                  <c:v>6.4250000000000016</c:v>
                </c:pt>
                <c:pt idx="6">
                  <c:v>6.450000000000002</c:v>
                </c:pt>
                <c:pt idx="7">
                  <c:v>6.4750000000000023</c:v>
                </c:pt>
                <c:pt idx="8">
                  <c:v>6.5000000000000027</c:v>
                </c:pt>
                <c:pt idx="9">
                  <c:v>6.525000000000003</c:v>
                </c:pt>
                <c:pt idx="10">
                  <c:v>6.5500000000000034</c:v>
                </c:pt>
                <c:pt idx="11">
                  <c:v>6.5750000000000037</c:v>
                </c:pt>
                <c:pt idx="12">
                  <c:v>6.6000000000000041</c:v>
                </c:pt>
                <c:pt idx="13">
                  <c:v>6.6250000000000044</c:v>
                </c:pt>
                <c:pt idx="14">
                  <c:v>6.6500000000000048</c:v>
                </c:pt>
                <c:pt idx="15">
                  <c:v>6.6750000000000052</c:v>
                </c:pt>
                <c:pt idx="16">
                  <c:v>6.7000000000000055</c:v>
                </c:pt>
                <c:pt idx="17">
                  <c:v>6.7250000000000059</c:v>
                </c:pt>
                <c:pt idx="18">
                  <c:v>6.7500000000000062</c:v>
                </c:pt>
                <c:pt idx="19">
                  <c:v>6.7750000000000066</c:v>
                </c:pt>
                <c:pt idx="20">
                  <c:v>6.8000000000000069</c:v>
                </c:pt>
                <c:pt idx="21">
                  <c:v>6.8250000000000073</c:v>
                </c:pt>
                <c:pt idx="22">
                  <c:v>6.8500000000000076</c:v>
                </c:pt>
                <c:pt idx="23">
                  <c:v>6.875000000000008</c:v>
                </c:pt>
                <c:pt idx="24">
                  <c:v>6.9000000000000083</c:v>
                </c:pt>
                <c:pt idx="25">
                  <c:v>6.9250000000000087</c:v>
                </c:pt>
                <c:pt idx="26">
                  <c:v>6.9500000000000091</c:v>
                </c:pt>
                <c:pt idx="27">
                  <c:v>6.9750000000000094</c:v>
                </c:pt>
                <c:pt idx="28">
                  <c:v>7.0000000000000098</c:v>
                </c:pt>
                <c:pt idx="29">
                  <c:v>7.0250000000000101</c:v>
                </c:pt>
                <c:pt idx="30">
                  <c:v>7.0500000000000105</c:v>
                </c:pt>
                <c:pt idx="31">
                  <c:v>7.0750000000000108</c:v>
                </c:pt>
                <c:pt idx="32">
                  <c:v>7.1000000000000112</c:v>
                </c:pt>
                <c:pt idx="33">
                  <c:v>7.1250000000000115</c:v>
                </c:pt>
                <c:pt idx="34">
                  <c:v>7.1500000000000119</c:v>
                </c:pt>
                <c:pt idx="35">
                  <c:v>7.1750000000000123</c:v>
                </c:pt>
                <c:pt idx="36">
                  <c:v>7.2000000000000126</c:v>
                </c:pt>
                <c:pt idx="37">
                  <c:v>7.225000000000013</c:v>
                </c:pt>
                <c:pt idx="38">
                  <c:v>7.2500000000000133</c:v>
                </c:pt>
                <c:pt idx="39">
                  <c:v>7.2750000000000137</c:v>
                </c:pt>
                <c:pt idx="40">
                  <c:v>7.300000000000014</c:v>
                </c:pt>
                <c:pt idx="41">
                  <c:v>7.3250000000000144</c:v>
                </c:pt>
                <c:pt idx="42">
                  <c:v>7.3500000000000147</c:v>
                </c:pt>
                <c:pt idx="43">
                  <c:v>7.3750000000000151</c:v>
                </c:pt>
                <c:pt idx="44">
                  <c:v>7.4000000000000155</c:v>
                </c:pt>
                <c:pt idx="45">
                  <c:v>7.4250000000000158</c:v>
                </c:pt>
                <c:pt idx="46">
                  <c:v>7.4500000000000162</c:v>
                </c:pt>
                <c:pt idx="47">
                  <c:v>7.4750000000000165</c:v>
                </c:pt>
                <c:pt idx="48">
                  <c:v>7.5000000000000169</c:v>
                </c:pt>
                <c:pt idx="49">
                  <c:v>7.5250000000000172</c:v>
                </c:pt>
                <c:pt idx="50">
                  <c:v>7.5500000000000176</c:v>
                </c:pt>
                <c:pt idx="51">
                  <c:v>7.5750000000000179</c:v>
                </c:pt>
                <c:pt idx="52">
                  <c:v>7.6000000000000183</c:v>
                </c:pt>
                <c:pt idx="53">
                  <c:v>7.6250000000000187</c:v>
                </c:pt>
                <c:pt idx="54">
                  <c:v>7.650000000000019</c:v>
                </c:pt>
                <c:pt idx="55">
                  <c:v>7.6750000000000194</c:v>
                </c:pt>
                <c:pt idx="56">
                  <c:v>7.7000000000000197</c:v>
                </c:pt>
                <c:pt idx="57">
                  <c:v>7.7250000000000201</c:v>
                </c:pt>
                <c:pt idx="58">
                  <c:v>7.7500000000000204</c:v>
                </c:pt>
                <c:pt idx="59">
                  <c:v>7.7750000000000208</c:v>
                </c:pt>
                <c:pt idx="60">
                  <c:v>7.8000000000000211</c:v>
                </c:pt>
                <c:pt idx="61">
                  <c:v>7.8250000000000215</c:v>
                </c:pt>
                <c:pt idx="62">
                  <c:v>7.8500000000000218</c:v>
                </c:pt>
                <c:pt idx="63">
                  <c:v>7.8750000000000222</c:v>
                </c:pt>
                <c:pt idx="64">
                  <c:v>7.9000000000000226</c:v>
                </c:pt>
                <c:pt idx="65">
                  <c:v>7.9250000000000229</c:v>
                </c:pt>
                <c:pt idx="66">
                  <c:v>7.9500000000000233</c:v>
                </c:pt>
                <c:pt idx="67">
                  <c:v>7.9750000000000236</c:v>
                </c:pt>
                <c:pt idx="68">
                  <c:v>8.0000000000000231</c:v>
                </c:pt>
                <c:pt idx="69">
                  <c:v>8.0250000000000234</c:v>
                </c:pt>
                <c:pt idx="70">
                  <c:v>8.0500000000000238</c:v>
                </c:pt>
                <c:pt idx="71">
                  <c:v>8.0750000000000242</c:v>
                </c:pt>
                <c:pt idx="72">
                  <c:v>8.1000000000000245</c:v>
                </c:pt>
                <c:pt idx="73">
                  <c:v>8.1250000000000249</c:v>
                </c:pt>
                <c:pt idx="74">
                  <c:v>8.1500000000000252</c:v>
                </c:pt>
                <c:pt idx="75">
                  <c:v>8.1750000000000256</c:v>
                </c:pt>
                <c:pt idx="76">
                  <c:v>8.2000000000000259</c:v>
                </c:pt>
                <c:pt idx="77">
                  <c:v>8.2250000000000263</c:v>
                </c:pt>
                <c:pt idx="78">
                  <c:v>8.2500000000000266</c:v>
                </c:pt>
                <c:pt idx="79">
                  <c:v>8.275000000000027</c:v>
                </c:pt>
                <c:pt idx="80">
                  <c:v>8.3000000000000274</c:v>
                </c:pt>
                <c:pt idx="81">
                  <c:v>8.3250000000000277</c:v>
                </c:pt>
                <c:pt idx="82">
                  <c:v>8.3500000000000281</c:v>
                </c:pt>
                <c:pt idx="83">
                  <c:v>8.3750000000000284</c:v>
                </c:pt>
                <c:pt idx="84">
                  <c:v>8.4000000000000288</c:v>
                </c:pt>
                <c:pt idx="85">
                  <c:v>8.4250000000000291</c:v>
                </c:pt>
                <c:pt idx="86">
                  <c:v>8.4500000000000295</c:v>
                </c:pt>
                <c:pt idx="87">
                  <c:v>8.4750000000000298</c:v>
                </c:pt>
                <c:pt idx="88">
                  <c:v>8.5000000000000302</c:v>
                </c:pt>
                <c:pt idx="89">
                  <c:v>8.5250000000000306</c:v>
                </c:pt>
                <c:pt idx="90">
                  <c:v>8.5500000000000309</c:v>
                </c:pt>
                <c:pt idx="91">
                  <c:v>8.5750000000000313</c:v>
                </c:pt>
                <c:pt idx="92">
                  <c:v>8.6000000000000316</c:v>
                </c:pt>
                <c:pt idx="93">
                  <c:v>8.625000000000032</c:v>
                </c:pt>
                <c:pt idx="94">
                  <c:v>8.6500000000000323</c:v>
                </c:pt>
                <c:pt idx="95">
                  <c:v>8.6750000000000327</c:v>
                </c:pt>
                <c:pt idx="96">
                  <c:v>8.700000000000033</c:v>
                </c:pt>
                <c:pt idx="97">
                  <c:v>8.7250000000000334</c:v>
                </c:pt>
                <c:pt idx="98">
                  <c:v>8.7500000000000338</c:v>
                </c:pt>
                <c:pt idx="99">
                  <c:v>8.7750000000000341</c:v>
                </c:pt>
                <c:pt idx="100">
                  <c:v>8.8000000000000345</c:v>
                </c:pt>
                <c:pt idx="101">
                  <c:v>8.8250000000000348</c:v>
                </c:pt>
                <c:pt idx="102">
                  <c:v>8.8500000000000352</c:v>
                </c:pt>
                <c:pt idx="103">
                  <c:v>8.8750000000000355</c:v>
                </c:pt>
                <c:pt idx="104">
                  <c:v>8.9000000000000359</c:v>
                </c:pt>
                <c:pt idx="105">
                  <c:v>8.9250000000000362</c:v>
                </c:pt>
                <c:pt idx="106">
                  <c:v>8.9500000000000366</c:v>
                </c:pt>
                <c:pt idx="107">
                  <c:v>8.9750000000000369</c:v>
                </c:pt>
                <c:pt idx="108">
                  <c:v>9.0000000000000373</c:v>
                </c:pt>
                <c:pt idx="109">
                  <c:v>9.0250000000000377</c:v>
                </c:pt>
                <c:pt idx="110">
                  <c:v>9.050000000000038</c:v>
                </c:pt>
                <c:pt idx="111">
                  <c:v>9.0750000000000384</c:v>
                </c:pt>
                <c:pt idx="112">
                  <c:v>9.1000000000000387</c:v>
                </c:pt>
                <c:pt idx="113">
                  <c:v>9.1250000000000391</c:v>
                </c:pt>
                <c:pt idx="114">
                  <c:v>9.1500000000000394</c:v>
                </c:pt>
                <c:pt idx="115">
                  <c:v>9.1750000000000398</c:v>
                </c:pt>
                <c:pt idx="116">
                  <c:v>9.2000000000000401</c:v>
                </c:pt>
                <c:pt idx="117">
                  <c:v>9.2250000000000405</c:v>
                </c:pt>
                <c:pt idx="118">
                  <c:v>9.2500000000000409</c:v>
                </c:pt>
                <c:pt idx="119">
                  <c:v>9.2750000000000412</c:v>
                </c:pt>
                <c:pt idx="120">
                  <c:v>9.3000000000000416</c:v>
                </c:pt>
                <c:pt idx="121">
                  <c:v>9.3250000000000419</c:v>
                </c:pt>
                <c:pt idx="122">
                  <c:v>9.3500000000000423</c:v>
                </c:pt>
                <c:pt idx="123">
                  <c:v>9.3750000000000426</c:v>
                </c:pt>
                <c:pt idx="124">
                  <c:v>9.400000000000043</c:v>
                </c:pt>
                <c:pt idx="125">
                  <c:v>9.4250000000000433</c:v>
                </c:pt>
                <c:pt idx="126">
                  <c:v>9.4500000000000437</c:v>
                </c:pt>
                <c:pt idx="127">
                  <c:v>9.4750000000000441</c:v>
                </c:pt>
                <c:pt idx="128">
                  <c:v>9.5000000000000444</c:v>
                </c:pt>
                <c:pt idx="129">
                  <c:v>9.5250000000000448</c:v>
                </c:pt>
                <c:pt idx="130">
                  <c:v>9.5500000000000451</c:v>
                </c:pt>
                <c:pt idx="131">
                  <c:v>9.5750000000000455</c:v>
                </c:pt>
                <c:pt idx="132">
                  <c:v>9.6000000000000458</c:v>
                </c:pt>
                <c:pt idx="133">
                  <c:v>9.6250000000000462</c:v>
                </c:pt>
                <c:pt idx="134">
                  <c:v>9.6500000000000465</c:v>
                </c:pt>
                <c:pt idx="135">
                  <c:v>9.6750000000000469</c:v>
                </c:pt>
                <c:pt idx="136">
                  <c:v>9.7000000000000473</c:v>
                </c:pt>
                <c:pt idx="137">
                  <c:v>9.7250000000000476</c:v>
                </c:pt>
                <c:pt idx="138">
                  <c:v>9.750000000000048</c:v>
                </c:pt>
                <c:pt idx="139">
                  <c:v>9.7750000000000483</c:v>
                </c:pt>
                <c:pt idx="140">
                  <c:v>9.8000000000000487</c:v>
                </c:pt>
                <c:pt idx="141">
                  <c:v>9.825000000000049</c:v>
                </c:pt>
                <c:pt idx="142">
                  <c:v>9.8500000000000494</c:v>
                </c:pt>
                <c:pt idx="143">
                  <c:v>9.8750000000000497</c:v>
                </c:pt>
                <c:pt idx="144">
                  <c:v>9.9000000000000501</c:v>
                </c:pt>
                <c:pt idx="145">
                  <c:v>9.9250000000000504</c:v>
                </c:pt>
                <c:pt idx="146">
                  <c:v>9.9500000000000508</c:v>
                </c:pt>
                <c:pt idx="147">
                  <c:v>9.9750000000000512</c:v>
                </c:pt>
                <c:pt idx="148">
                  <c:v>10.000000000000052</c:v>
                </c:pt>
                <c:pt idx="149">
                  <c:v>10.025000000000052</c:v>
                </c:pt>
                <c:pt idx="150">
                  <c:v>10.050000000000052</c:v>
                </c:pt>
                <c:pt idx="151">
                  <c:v>10.075000000000053</c:v>
                </c:pt>
                <c:pt idx="152">
                  <c:v>10.100000000000053</c:v>
                </c:pt>
                <c:pt idx="153">
                  <c:v>10.125000000000053</c:v>
                </c:pt>
                <c:pt idx="154">
                  <c:v>10.150000000000054</c:v>
                </c:pt>
                <c:pt idx="155">
                  <c:v>10.175000000000054</c:v>
                </c:pt>
                <c:pt idx="156">
                  <c:v>10.200000000000054</c:v>
                </c:pt>
                <c:pt idx="157">
                  <c:v>10.225000000000055</c:v>
                </c:pt>
                <c:pt idx="158">
                  <c:v>10.250000000000055</c:v>
                </c:pt>
                <c:pt idx="159">
                  <c:v>10.275000000000055</c:v>
                </c:pt>
                <c:pt idx="160">
                  <c:v>10.300000000000056</c:v>
                </c:pt>
                <c:pt idx="161">
                  <c:v>10.325000000000056</c:v>
                </c:pt>
                <c:pt idx="162">
                  <c:v>10.350000000000056</c:v>
                </c:pt>
                <c:pt idx="163">
                  <c:v>10.375000000000057</c:v>
                </c:pt>
                <c:pt idx="164">
                  <c:v>10.400000000000057</c:v>
                </c:pt>
                <c:pt idx="165">
                  <c:v>10.425000000000058</c:v>
                </c:pt>
                <c:pt idx="166">
                  <c:v>10.450000000000058</c:v>
                </c:pt>
                <c:pt idx="167">
                  <c:v>10.475000000000058</c:v>
                </c:pt>
                <c:pt idx="168">
                  <c:v>10.500000000000059</c:v>
                </c:pt>
                <c:pt idx="169">
                  <c:v>10.525000000000059</c:v>
                </c:pt>
                <c:pt idx="170">
                  <c:v>10.550000000000059</c:v>
                </c:pt>
                <c:pt idx="171">
                  <c:v>10.57500000000006</c:v>
                </c:pt>
                <c:pt idx="172">
                  <c:v>10.60000000000006</c:v>
                </c:pt>
                <c:pt idx="173">
                  <c:v>10.62500000000006</c:v>
                </c:pt>
                <c:pt idx="174">
                  <c:v>10.650000000000061</c:v>
                </c:pt>
                <c:pt idx="175">
                  <c:v>10.675000000000061</c:v>
                </c:pt>
                <c:pt idx="176">
                  <c:v>10.700000000000061</c:v>
                </c:pt>
                <c:pt idx="177">
                  <c:v>10.725000000000062</c:v>
                </c:pt>
                <c:pt idx="178">
                  <c:v>10.750000000000062</c:v>
                </c:pt>
                <c:pt idx="179">
                  <c:v>10.775000000000063</c:v>
                </c:pt>
                <c:pt idx="180">
                  <c:v>10.800000000000063</c:v>
                </c:pt>
                <c:pt idx="181">
                  <c:v>10.825000000000063</c:v>
                </c:pt>
                <c:pt idx="182">
                  <c:v>10.850000000000064</c:v>
                </c:pt>
                <c:pt idx="183">
                  <c:v>10.875000000000064</c:v>
                </c:pt>
                <c:pt idx="184">
                  <c:v>10.900000000000064</c:v>
                </c:pt>
                <c:pt idx="185">
                  <c:v>10.925000000000065</c:v>
                </c:pt>
                <c:pt idx="186">
                  <c:v>10.950000000000065</c:v>
                </c:pt>
                <c:pt idx="187">
                  <c:v>10.975000000000065</c:v>
                </c:pt>
                <c:pt idx="188">
                  <c:v>11.000000000000066</c:v>
                </c:pt>
                <c:pt idx="189">
                  <c:v>11.025000000000066</c:v>
                </c:pt>
                <c:pt idx="190">
                  <c:v>11.050000000000066</c:v>
                </c:pt>
                <c:pt idx="191">
                  <c:v>11.075000000000067</c:v>
                </c:pt>
                <c:pt idx="192">
                  <c:v>11.100000000000067</c:v>
                </c:pt>
                <c:pt idx="193">
                  <c:v>11.125000000000068</c:v>
                </c:pt>
                <c:pt idx="194">
                  <c:v>11.150000000000068</c:v>
                </c:pt>
                <c:pt idx="195">
                  <c:v>11.175000000000068</c:v>
                </c:pt>
                <c:pt idx="196">
                  <c:v>11.200000000000069</c:v>
                </c:pt>
                <c:pt idx="197">
                  <c:v>11.225000000000069</c:v>
                </c:pt>
                <c:pt idx="198">
                  <c:v>11.250000000000069</c:v>
                </c:pt>
                <c:pt idx="199">
                  <c:v>11.27500000000007</c:v>
                </c:pt>
                <c:pt idx="200">
                  <c:v>11.30000000000007</c:v>
                </c:pt>
                <c:pt idx="201">
                  <c:v>11.32500000000007</c:v>
                </c:pt>
                <c:pt idx="202">
                  <c:v>11.350000000000071</c:v>
                </c:pt>
                <c:pt idx="203">
                  <c:v>11.375000000000071</c:v>
                </c:pt>
                <c:pt idx="204">
                  <c:v>11.400000000000071</c:v>
                </c:pt>
                <c:pt idx="205">
                  <c:v>11.425000000000072</c:v>
                </c:pt>
                <c:pt idx="206">
                  <c:v>11.450000000000072</c:v>
                </c:pt>
                <c:pt idx="207">
                  <c:v>11.475000000000072</c:v>
                </c:pt>
                <c:pt idx="208">
                  <c:v>11.500000000000073</c:v>
                </c:pt>
                <c:pt idx="209">
                  <c:v>11.525000000000073</c:v>
                </c:pt>
                <c:pt idx="210">
                  <c:v>11.550000000000074</c:v>
                </c:pt>
                <c:pt idx="211">
                  <c:v>11.575000000000074</c:v>
                </c:pt>
                <c:pt idx="212">
                  <c:v>11.600000000000074</c:v>
                </c:pt>
                <c:pt idx="213">
                  <c:v>11.625000000000075</c:v>
                </c:pt>
                <c:pt idx="214">
                  <c:v>11.650000000000075</c:v>
                </c:pt>
                <c:pt idx="215">
                  <c:v>11.675000000000075</c:v>
                </c:pt>
                <c:pt idx="216">
                  <c:v>11.700000000000076</c:v>
                </c:pt>
                <c:pt idx="217">
                  <c:v>11.725000000000076</c:v>
                </c:pt>
                <c:pt idx="218">
                  <c:v>11.750000000000076</c:v>
                </c:pt>
                <c:pt idx="219">
                  <c:v>11.775000000000077</c:v>
                </c:pt>
                <c:pt idx="220">
                  <c:v>11.800000000000077</c:v>
                </c:pt>
                <c:pt idx="221">
                  <c:v>11.825000000000077</c:v>
                </c:pt>
                <c:pt idx="222">
                  <c:v>11.850000000000078</c:v>
                </c:pt>
                <c:pt idx="223">
                  <c:v>11.875000000000078</c:v>
                </c:pt>
                <c:pt idx="224">
                  <c:v>11.900000000000079</c:v>
                </c:pt>
                <c:pt idx="225">
                  <c:v>11.925000000000079</c:v>
                </c:pt>
                <c:pt idx="226">
                  <c:v>11.950000000000079</c:v>
                </c:pt>
                <c:pt idx="227">
                  <c:v>11.97500000000008</c:v>
                </c:pt>
                <c:pt idx="228">
                  <c:v>12.00000000000008</c:v>
                </c:pt>
                <c:pt idx="229">
                  <c:v>12.02500000000008</c:v>
                </c:pt>
                <c:pt idx="230">
                  <c:v>12.050000000000081</c:v>
                </c:pt>
                <c:pt idx="231">
                  <c:v>12.075000000000081</c:v>
                </c:pt>
                <c:pt idx="232">
                  <c:v>12.100000000000081</c:v>
                </c:pt>
                <c:pt idx="233">
                  <c:v>12.125000000000082</c:v>
                </c:pt>
                <c:pt idx="234">
                  <c:v>12.150000000000082</c:v>
                </c:pt>
                <c:pt idx="235">
                  <c:v>12.175000000000082</c:v>
                </c:pt>
                <c:pt idx="236">
                  <c:v>12.200000000000083</c:v>
                </c:pt>
                <c:pt idx="237">
                  <c:v>12.225000000000083</c:v>
                </c:pt>
                <c:pt idx="238">
                  <c:v>12.250000000000083</c:v>
                </c:pt>
                <c:pt idx="239">
                  <c:v>12.275000000000084</c:v>
                </c:pt>
                <c:pt idx="240">
                  <c:v>12.300000000000084</c:v>
                </c:pt>
                <c:pt idx="241">
                  <c:v>12.325000000000085</c:v>
                </c:pt>
                <c:pt idx="242">
                  <c:v>12.350000000000085</c:v>
                </c:pt>
                <c:pt idx="243">
                  <c:v>12.375000000000085</c:v>
                </c:pt>
                <c:pt idx="244">
                  <c:v>12.400000000000086</c:v>
                </c:pt>
                <c:pt idx="245">
                  <c:v>12.425000000000086</c:v>
                </c:pt>
                <c:pt idx="246">
                  <c:v>12.450000000000086</c:v>
                </c:pt>
                <c:pt idx="247">
                  <c:v>12.475000000000087</c:v>
                </c:pt>
                <c:pt idx="248">
                  <c:v>12.500000000000087</c:v>
                </c:pt>
                <c:pt idx="249">
                  <c:v>12.525000000000087</c:v>
                </c:pt>
                <c:pt idx="250">
                  <c:v>12.550000000000088</c:v>
                </c:pt>
                <c:pt idx="251">
                  <c:v>12.575000000000088</c:v>
                </c:pt>
                <c:pt idx="252">
                  <c:v>12.600000000000088</c:v>
                </c:pt>
                <c:pt idx="253">
                  <c:v>12.625000000000089</c:v>
                </c:pt>
                <c:pt idx="254">
                  <c:v>12.650000000000089</c:v>
                </c:pt>
                <c:pt idx="255">
                  <c:v>12.67500000000009</c:v>
                </c:pt>
                <c:pt idx="256">
                  <c:v>12.70000000000009</c:v>
                </c:pt>
                <c:pt idx="257">
                  <c:v>12.72500000000009</c:v>
                </c:pt>
                <c:pt idx="258">
                  <c:v>12.750000000000091</c:v>
                </c:pt>
                <c:pt idx="259">
                  <c:v>12.775000000000091</c:v>
                </c:pt>
                <c:pt idx="260">
                  <c:v>12.800000000000091</c:v>
                </c:pt>
                <c:pt idx="261">
                  <c:v>12.825000000000092</c:v>
                </c:pt>
                <c:pt idx="262">
                  <c:v>12.850000000000092</c:v>
                </c:pt>
                <c:pt idx="263">
                  <c:v>12.875000000000092</c:v>
                </c:pt>
                <c:pt idx="264">
                  <c:v>12.900000000000093</c:v>
                </c:pt>
                <c:pt idx="265">
                  <c:v>12.925000000000093</c:v>
                </c:pt>
                <c:pt idx="266">
                  <c:v>12.950000000000093</c:v>
                </c:pt>
                <c:pt idx="267">
                  <c:v>12.975000000000094</c:v>
                </c:pt>
                <c:pt idx="268">
                  <c:v>13.000000000000094</c:v>
                </c:pt>
                <c:pt idx="269">
                  <c:v>13.025000000000095</c:v>
                </c:pt>
                <c:pt idx="270">
                  <c:v>13.050000000000095</c:v>
                </c:pt>
                <c:pt idx="271">
                  <c:v>13.075000000000095</c:v>
                </c:pt>
                <c:pt idx="272">
                  <c:v>13.100000000000096</c:v>
                </c:pt>
                <c:pt idx="273">
                  <c:v>13.125000000000096</c:v>
                </c:pt>
                <c:pt idx="274">
                  <c:v>13.150000000000096</c:v>
                </c:pt>
                <c:pt idx="275">
                  <c:v>13.175000000000097</c:v>
                </c:pt>
                <c:pt idx="276">
                  <c:v>13.200000000000097</c:v>
                </c:pt>
                <c:pt idx="277">
                  <c:v>13.225000000000097</c:v>
                </c:pt>
                <c:pt idx="278">
                  <c:v>13.250000000000098</c:v>
                </c:pt>
                <c:pt idx="279">
                  <c:v>13.275000000000098</c:v>
                </c:pt>
                <c:pt idx="280">
                  <c:v>13.300000000000098</c:v>
                </c:pt>
                <c:pt idx="281">
                  <c:v>13.325000000000099</c:v>
                </c:pt>
                <c:pt idx="282">
                  <c:v>13.350000000000099</c:v>
                </c:pt>
                <c:pt idx="283">
                  <c:v>13.375000000000099</c:v>
                </c:pt>
                <c:pt idx="284">
                  <c:v>13.4000000000001</c:v>
                </c:pt>
                <c:pt idx="285">
                  <c:v>13.4250000000001</c:v>
                </c:pt>
                <c:pt idx="286">
                  <c:v>13.450000000000101</c:v>
                </c:pt>
                <c:pt idx="287">
                  <c:v>13.475000000000101</c:v>
                </c:pt>
                <c:pt idx="288">
                  <c:v>13.500000000000101</c:v>
                </c:pt>
                <c:pt idx="289">
                  <c:v>13.525000000000102</c:v>
                </c:pt>
                <c:pt idx="290">
                  <c:v>13.550000000000102</c:v>
                </c:pt>
                <c:pt idx="291">
                  <c:v>13.575000000000102</c:v>
                </c:pt>
                <c:pt idx="292">
                  <c:v>13.600000000000103</c:v>
                </c:pt>
                <c:pt idx="293">
                  <c:v>13.625000000000103</c:v>
                </c:pt>
                <c:pt idx="294">
                  <c:v>13.650000000000103</c:v>
                </c:pt>
                <c:pt idx="295">
                  <c:v>13.675000000000104</c:v>
                </c:pt>
                <c:pt idx="296">
                  <c:v>13.700000000000104</c:v>
                </c:pt>
                <c:pt idx="297">
                  <c:v>13.725000000000104</c:v>
                </c:pt>
                <c:pt idx="298">
                  <c:v>13.750000000000105</c:v>
                </c:pt>
                <c:pt idx="299">
                  <c:v>13.775000000000105</c:v>
                </c:pt>
                <c:pt idx="300">
                  <c:v>13.800000000000106</c:v>
                </c:pt>
                <c:pt idx="301">
                  <c:v>13.825000000000106</c:v>
                </c:pt>
                <c:pt idx="302">
                  <c:v>13.850000000000106</c:v>
                </c:pt>
                <c:pt idx="303">
                  <c:v>13.875000000000107</c:v>
                </c:pt>
                <c:pt idx="304">
                  <c:v>13.900000000000107</c:v>
                </c:pt>
                <c:pt idx="305">
                  <c:v>13.925000000000107</c:v>
                </c:pt>
                <c:pt idx="306">
                  <c:v>13.950000000000108</c:v>
                </c:pt>
                <c:pt idx="307">
                  <c:v>13.975000000000108</c:v>
                </c:pt>
                <c:pt idx="308">
                  <c:v>14.000000000000108</c:v>
                </c:pt>
                <c:pt idx="309">
                  <c:v>14.025000000000109</c:v>
                </c:pt>
                <c:pt idx="310">
                  <c:v>14.050000000000109</c:v>
                </c:pt>
                <c:pt idx="311">
                  <c:v>14.075000000000109</c:v>
                </c:pt>
                <c:pt idx="312">
                  <c:v>14.10000000000011</c:v>
                </c:pt>
                <c:pt idx="313">
                  <c:v>14.12500000000011</c:v>
                </c:pt>
                <c:pt idx="314">
                  <c:v>14.15000000000011</c:v>
                </c:pt>
                <c:pt idx="315">
                  <c:v>14.175000000000111</c:v>
                </c:pt>
                <c:pt idx="316">
                  <c:v>14.200000000000111</c:v>
                </c:pt>
                <c:pt idx="317">
                  <c:v>14.225000000000112</c:v>
                </c:pt>
                <c:pt idx="318">
                  <c:v>14.250000000000112</c:v>
                </c:pt>
                <c:pt idx="319">
                  <c:v>14.275000000000112</c:v>
                </c:pt>
                <c:pt idx="320">
                  <c:v>14.300000000000113</c:v>
                </c:pt>
                <c:pt idx="321">
                  <c:v>14.325000000000113</c:v>
                </c:pt>
                <c:pt idx="322">
                  <c:v>14.350000000000113</c:v>
                </c:pt>
                <c:pt idx="323">
                  <c:v>14.375000000000114</c:v>
                </c:pt>
                <c:pt idx="324">
                  <c:v>14.400000000000114</c:v>
                </c:pt>
                <c:pt idx="325">
                  <c:v>14.425000000000114</c:v>
                </c:pt>
                <c:pt idx="326">
                  <c:v>14.450000000000115</c:v>
                </c:pt>
                <c:pt idx="327">
                  <c:v>14.475000000000115</c:v>
                </c:pt>
                <c:pt idx="328">
                  <c:v>14.500000000000115</c:v>
                </c:pt>
                <c:pt idx="329">
                  <c:v>14.525000000000116</c:v>
                </c:pt>
                <c:pt idx="330">
                  <c:v>14.550000000000116</c:v>
                </c:pt>
                <c:pt idx="331">
                  <c:v>14.575000000000117</c:v>
                </c:pt>
                <c:pt idx="332">
                  <c:v>14.600000000000117</c:v>
                </c:pt>
                <c:pt idx="333">
                  <c:v>14.625000000000117</c:v>
                </c:pt>
                <c:pt idx="334">
                  <c:v>14.650000000000118</c:v>
                </c:pt>
                <c:pt idx="335">
                  <c:v>14.675000000000118</c:v>
                </c:pt>
                <c:pt idx="336">
                  <c:v>14.700000000000118</c:v>
                </c:pt>
                <c:pt idx="337">
                  <c:v>14.725000000000119</c:v>
                </c:pt>
                <c:pt idx="338">
                  <c:v>14.750000000000119</c:v>
                </c:pt>
                <c:pt idx="339">
                  <c:v>14.775000000000119</c:v>
                </c:pt>
                <c:pt idx="340">
                  <c:v>14.80000000000012</c:v>
                </c:pt>
                <c:pt idx="341">
                  <c:v>14.82500000000012</c:v>
                </c:pt>
                <c:pt idx="342">
                  <c:v>14.85000000000012</c:v>
                </c:pt>
                <c:pt idx="343">
                  <c:v>14.875000000000121</c:v>
                </c:pt>
                <c:pt idx="344">
                  <c:v>14.900000000000121</c:v>
                </c:pt>
                <c:pt idx="345">
                  <c:v>14.925000000000122</c:v>
                </c:pt>
                <c:pt idx="346">
                  <c:v>14.950000000000122</c:v>
                </c:pt>
                <c:pt idx="347">
                  <c:v>14.975000000000122</c:v>
                </c:pt>
                <c:pt idx="348">
                  <c:v>15.000000000000123</c:v>
                </c:pt>
                <c:pt idx="349">
                  <c:v>15.025000000000123</c:v>
                </c:pt>
                <c:pt idx="350">
                  <c:v>15.050000000000123</c:v>
                </c:pt>
                <c:pt idx="351">
                  <c:v>15.075000000000124</c:v>
                </c:pt>
                <c:pt idx="352">
                  <c:v>15.100000000000124</c:v>
                </c:pt>
                <c:pt idx="353">
                  <c:v>15.125000000000124</c:v>
                </c:pt>
                <c:pt idx="354">
                  <c:v>15.150000000000125</c:v>
                </c:pt>
                <c:pt idx="355">
                  <c:v>15.175000000000125</c:v>
                </c:pt>
                <c:pt idx="356">
                  <c:v>15.200000000000125</c:v>
                </c:pt>
                <c:pt idx="357">
                  <c:v>15.225000000000126</c:v>
                </c:pt>
                <c:pt idx="358">
                  <c:v>15.250000000000126</c:v>
                </c:pt>
                <c:pt idx="359">
                  <c:v>15.275000000000126</c:v>
                </c:pt>
                <c:pt idx="360">
                  <c:v>15.300000000000127</c:v>
                </c:pt>
                <c:pt idx="361">
                  <c:v>15.325000000000127</c:v>
                </c:pt>
                <c:pt idx="362">
                  <c:v>15.350000000000128</c:v>
                </c:pt>
                <c:pt idx="363">
                  <c:v>15.375000000000128</c:v>
                </c:pt>
                <c:pt idx="364">
                  <c:v>15.400000000000128</c:v>
                </c:pt>
                <c:pt idx="365">
                  <c:v>15.425000000000129</c:v>
                </c:pt>
                <c:pt idx="366">
                  <c:v>15.450000000000129</c:v>
                </c:pt>
                <c:pt idx="367">
                  <c:v>15.475000000000129</c:v>
                </c:pt>
                <c:pt idx="368">
                  <c:v>15.50000000000013</c:v>
                </c:pt>
                <c:pt idx="369">
                  <c:v>15.52500000000013</c:v>
                </c:pt>
                <c:pt idx="370">
                  <c:v>15.55000000000013</c:v>
                </c:pt>
                <c:pt idx="371">
                  <c:v>15.575000000000131</c:v>
                </c:pt>
                <c:pt idx="372">
                  <c:v>15.600000000000131</c:v>
                </c:pt>
                <c:pt idx="373">
                  <c:v>15.625000000000131</c:v>
                </c:pt>
                <c:pt idx="374">
                  <c:v>15.650000000000132</c:v>
                </c:pt>
                <c:pt idx="375">
                  <c:v>15.675000000000132</c:v>
                </c:pt>
                <c:pt idx="376">
                  <c:v>15.700000000000133</c:v>
                </c:pt>
                <c:pt idx="377">
                  <c:v>15.725000000000133</c:v>
                </c:pt>
                <c:pt idx="378">
                  <c:v>15.750000000000133</c:v>
                </c:pt>
                <c:pt idx="379">
                  <c:v>15.775000000000134</c:v>
                </c:pt>
                <c:pt idx="380">
                  <c:v>15.800000000000134</c:v>
                </c:pt>
                <c:pt idx="381">
                  <c:v>15.825000000000134</c:v>
                </c:pt>
                <c:pt idx="382">
                  <c:v>15.850000000000135</c:v>
                </c:pt>
                <c:pt idx="383">
                  <c:v>15.875000000000135</c:v>
                </c:pt>
                <c:pt idx="384">
                  <c:v>15.900000000000135</c:v>
                </c:pt>
                <c:pt idx="385">
                  <c:v>15.925000000000136</c:v>
                </c:pt>
                <c:pt idx="386">
                  <c:v>15.950000000000136</c:v>
                </c:pt>
                <c:pt idx="387">
                  <c:v>15.975000000000136</c:v>
                </c:pt>
                <c:pt idx="388">
                  <c:v>16.000000000000135</c:v>
                </c:pt>
                <c:pt idx="389">
                  <c:v>16.025000000000134</c:v>
                </c:pt>
                <c:pt idx="390">
                  <c:v>16.050000000000132</c:v>
                </c:pt>
              </c:numCache>
            </c:numRef>
          </c:cat>
          <c:val>
            <c:numRef>
              <c:f>'Modelo Gaussiano'!$B$11:$B$401</c:f>
              <c:numCache>
                <c:formatCode>General</c:formatCode>
                <c:ptCount val="391"/>
                <c:pt idx="0">
                  <c:v>7.9559508718227576E-2</c:v>
                </c:pt>
                <c:pt idx="1">
                  <c:v>0.10457900128900169</c:v>
                </c:pt>
                <c:pt idx="2">
                  <c:v>0.13533528323661345</c:v>
                </c:pt>
                <c:pt idx="3">
                  <c:v>0.17242162389375434</c:v>
                </c:pt>
                <c:pt idx="4">
                  <c:v>0.21626516682988978</c:v>
                </c:pt>
                <c:pt idx="5">
                  <c:v>0.26705183522634696</c:v>
                </c:pt>
                <c:pt idx="6">
                  <c:v>0.32465246735835468</c:v>
                </c:pt>
                <c:pt idx="7">
                  <c:v>0.38855812751237057</c:v>
                </c:pt>
                <c:pt idx="8">
                  <c:v>0.45783336177162243</c:v>
                </c:pt>
                <c:pt idx="9">
                  <c:v>0.53109599103535532</c:v>
                </c:pt>
                <c:pt idx="10">
                  <c:v>0.60653065971264575</c:v>
                </c:pt>
                <c:pt idx="11">
                  <c:v>0.68194075119036324</c:v>
                </c:pt>
                <c:pt idx="12">
                  <c:v>0.75483960198902644</c:v>
                </c:pt>
                <c:pt idx="13">
                  <c:v>0.82257756239869084</c:v>
                </c:pt>
                <c:pt idx="14">
                  <c:v>0.88249690258463442</c:v>
                </c:pt>
                <c:pt idx="15">
                  <c:v>0.93210249235959097</c:v>
                </c:pt>
                <c:pt idx="16">
                  <c:v>0.96923323447645426</c:v>
                </c:pt>
                <c:pt idx="17">
                  <c:v>0.99221793826044247</c:v>
                </c:pt>
                <c:pt idx="18">
                  <c:v>1.0000000000003662</c:v>
                </c:pt>
                <c:pt idx="19">
                  <c:v>0.99221793826092108</c:v>
                </c:pt>
                <c:pt idx="20">
                  <c:v>0.96923323447759591</c:v>
                </c:pt>
                <c:pt idx="21">
                  <c:v>0.93210249236182874</c:v>
                </c:pt>
                <c:pt idx="22">
                  <c:v>0.88249690258879776</c:v>
                </c:pt>
                <c:pt idx="23">
                  <c:v>0.82257756240628399</c:v>
                </c:pt>
                <c:pt idx="24">
                  <c:v>0.75483960200272215</c:v>
                </c:pt>
                <c:pt idx="25">
                  <c:v>0.6819407512148562</c:v>
                </c:pt>
                <c:pt idx="26">
                  <c:v>0.6065306597561152</c:v>
                </c:pt>
                <c:pt idx="27">
                  <c:v>0.53109599111194383</c:v>
                </c:pt>
                <c:pt idx="28">
                  <c:v>0.45783336190560425</c:v>
                </c:pt>
                <c:pt idx="29">
                  <c:v>0.38855812774510851</c:v>
                </c:pt>
                <c:pt idx="30">
                  <c:v>0.32465246775981943</c:v>
                </c:pt>
                <c:pt idx="31">
                  <c:v>0.26705183591404547</c:v>
                </c:pt>
                <c:pt idx="32">
                  <c:v>0.21626516799972684</c:v>
                </c:pt>
                <c:pt idx="33">
                  <c:v>0.17242162586996265</c:v>
                </c:pt>
                <c:pt idx="34">
                  <c:v>0.13533528655190727</c:v>
                </c:pt>
                <c:pt idx="35">
                  <c:v>0.10457900681224638</c:v>
                </c:pt>
                <c:pt idx="36">
                  <c:v>7.9559517856204298E-2</c:v>
                </c:pt>
                <c:pt idx="37">
                  <c:v>5.9587333775750123E-2</c:v>
                </c:pt>
                <c:pt idx="38">
                  <c:v>4.3936958120416369E-2</c:v>
                </c:pt>
                <c:pt idx="39">
                  <c:v>3.1894833055761219E-2</c:v>
                </c:pt>
                <c:pt idx="40">
                  <c:v>2.279424475583644E-2</c:v>
                </c:pt>
                <c:pt idx="41">
                  <c:v>1.6037811342877711E-2</c:v>
                </c:pt>
                <c:pt idx="42">
                  <c:v>1.1109158512950062E-2</c:v>
                </c:pt>
                <c:pt idx="43">
                  <c:v>7.5759327090291944E-3</c:v>
                </c:pt>
                <c:pt idx="44">
                  <c:v>5.0864687326996226E-3</c:v>
                </c:pt>
                <c:pt idx="45">
                  <c:v>3.3623074004580297E-3</c:v>
                </c:pt>
                <c:pt idx="46">
                  <c:v>2.1884494729119703E-3</c:v>
                </c:pt>
                <c:pt idx="47">
                  <c:v>1.4028283662195031E-3</c:v>
                </c:pt>
                <c:pt idx="48">
                  <c:v>8.8606229883801907E-4</c:v>
                </c:pt>
                <c:pt idx="49">
                  <c:v>5.5216024583360976E-4</c:v>
                </c:pt>
                <c:pt idx="50">
                  <c:v>3.4053662748361651E-4</c:v>
                </c:pt>
                <c:pt idx="51">
                  <c:v>2.0944922870707279E-4</c:v>
                </c:pt>
                <c:pt idx="52">
                  <c:v>1.3081156504909358E-4</c:v>
                </c:pt>
                <c:pt idx="53">
                  <c:v>8.6234178684368627E-5</c:v>
                </c:pt>
                <c:pt idx="54">
                  <c:v>6.4104475828711456E-5</c:v>
                </c:pt>
                <c:pt idx="55">
                  <c:v>5.7506427007682876E-5</c:v>
                </c:pt>
                <c:pt idx="56">
                  <c:v>6.2796113514893503E-5</c:v>
                </c:pt>
                <c:pt idx="57">
                  <c:v>7.8675853786910421E-5</c:v>
                </c:pt>
                <c:pt idx="58">
                  <c:v>1.0564065910895197E-4</c:v>
                </c:pt>
                <c:pt idx="59">
                  <c:v>1.4570099505542393E-4</c:v>
                </c:pt>
                <c:pt idx="60">
                  <c:v>2.0231243095267257E-4</c:v>
                </c:pt>
                <c:pt idx="61">
                  <c:v>2.8046450939900607E-4</c:v>
                </c:pt>
                <c:pt idx="62">
                  <c:v>3.8689785019160888E-4</c:v>
                </c:pt>
                <c:pt idx="63">
                  <c:v>5.3043047113005774E-4</c:v>
                </c:pt>
                <c:pt idx="64">
                  <c:v>7.2238215291349766E-4</c:v>
                </c:pt>
                <c:pt idx="65">
                  <c:v>9.7709001990416394E-4</c:v>
                </c:pt>
                <c:pt idx="66">
                  <c:v>1.3125099008898312E-3</c:v>
                </c:pt>
                <c:pt idx="67">
                  <c:v>1.7508969097888793E-3</c:v>
                </c:pt>
                <c:pt idx="68">
                  <c:v>2.3195553773983882E-3</c:v>
                </c:pt>
                <c:pt idx="69">
                  <c:v>3.0516430348454661E-3</c:v>
                </c:pt>
                <c:pt idx="70">
                  <c:v>3.9870074388044501E-3</c:v>
                </c:pt>
                <c:pt idx="71">
                  <c:v>5.1730243076075436E-3</c:v>
                </c:pt>
                <c:pt idx="72">
                  <c:v>6.6653980506581724E-3</c:v>
                </c:pt>
                <c:pt idx="73">
                  <c:v>8.5288747785446824E-3</c:v>
                </c:pt>
                <c:pt idx="74">
                  <c:v>1.0837808074768703E-2</c:v>
                </c:pt>
                <c:pt idx="75">
                  <c:v>1.3676508539641362E-2</c:v>
                </c:pt>
                <c:pt idx="76">
                  <c:v>1.7139300474590721E-2</c:v>
                </c:pt>
                <c:pt idx="77">
                  <c:v>2.1330204070419547E-2</c:v>
                </c:pt>
                <c:pt idx="78">
                  <c:v>2.6362160174660497E-2</c:v>
                </c:pt>
                <c:pt idx="79">
                  <c:v>3.2355718218617845E-2</c:v>
                </c:pt>
                <c:pt idx="80">
                  <c:v>3.9437117170017376E-2</c:v>
                </c:pt>
                <c:pt idx="81">
                  <c:v>4.7735705230980689E-2</c:v>
                </c:pt>
                <c:pt idx="82">
                  <c:v>5.7380666899547447E-2</c:v>
                </c:pt>
                <c:pt idx="83">
                  <c:v>6.8497056005830309E-2</c:v>
                </c:pt>
                <c:pt idx="84">
                  <c:v>8.1201169941984883E-2</c:v>
                </c:pt>
                <c:pt idx="85">
                  <c:v>9.5595342443547657E-2</c:v>
                </c:pt>
                <c:pt idx="86">
                  <c:v>0.111762278218641</c:v>
                </c:pt>
                <c:pt idx="87">
                  <c:v>0.1297591000979553</c:v>
                </c:pt>
                <c:pt idx="88">
                  <c:v>0.14961132526640333</c:v>
                </c:pt>
                <c:pt idx="89">
                  <c:v>0.17130702818302007</c:v>
                </c:pt>
                <c:pt idx="90">
                  <c:v>0.19479148041504191</c:v>
                </c:pt>
                <c:pt idx="91">
                  <c:v>0.21996257824424065</c:v>
                </c:pt>
                <c:pt idx="92">
                  <c:v>0.24666737430435468</c:v>
                </c:pt>
                <c:pt idx="93">
                  <c:v>0.27470001706301994</c:v>
                </c:pt>
                <c:pt idx="94">
                  <c:v>0.30380136998892698</c:v>
                </c:pt>
                <c:pt idx="95">
                  <c:v>0.33366053026401893</c:v>
                </c:pt>
                <c:pt idx="96">
                  <c:v>0.36391839582772356</c:v>
                </c:pt>
                <c:pt idx="97">
                  <c:v>0.39417334178979652</c:v>
                </c:pt>
                <c:pt idx="98">
                  <c:v>0.42398896671503561</c:v>
                </c:pt>
                <c:pt idx="99">
                  <c:v>0.45290376119412462</c:v>
                </c:pt>
                <c:pt idx="100">
                  <c:v>0.48044244175138184</c:v>
                </c:pt>
                <c:pt idx="101">
                  <c:v>0.5061285894408889</c:v>
                </c:pt>
                <c:pt idx="102">
                  <c:v>0.52949814155500741</c:v>
                </c:pt>
                <c:pt idx="103">
                  <c:v>0.55011321344688435</c:v>
                </c:pt>
                <c:pt idx="104">
                  <c:v>0.56757568135782033</c:v>
                </c:pt>
                <c:pt idx="105">
                  <c:v>0.58153994071035786</c:v>
                </c:pt>
                <c:pt idx="106">
                  <c:v>0.59172427008987094</c:v>
                </c:pt>
                <c:pt idx="107">
                  <c:v>0.59792027945885429</c:v>
                </c:pt>
                <c:pt idx="108">
                  <c:v>0.60000000013401789</c:v>
                </c:pt>
                <c:pt idx="109">
                  <c:v>0.59792027961498651</c:v>
                </c:pt>
                <c:pt idx="110">
                  <c:v>0.59172427044783238</c:v>
                </c:pt>
                <c:pt idx="111">
                  <c:v>0.5815399413735135</c:v>
                </c:pt>
                <c:pt idx="112">
                  <c:v>0.56757568251389545</c:v>
                </c:pt>
                <c:pt idx="113">
                  <c:v>0.55011321541541602</c:v>
                </c:pt>
                <c:pt idx="114">
                  <c:v>0.52949814486603297</c:v>
                </c:pt>
                <c:pt idx="115">
                  <c:v>0.50612859496175999</c:v>
                </c:pt>
                <c:pt idx="116">
                  <c:v>0.48044245088802978</c:v>
                </c:pt>
                <c:pt idx="117">
                  <c:v>0.45290377620713168</c:v>
                </c:pt>
                <c:pt idx="118">
                  <c:v>0.42398899121159789</c:v>
                </c:pt>
                <c:pt idx="119">
                  <c:v>0.39417338148312131</c:v>
                </c:pt>
                <c:pt idx="120">
                  <c:v>0.36391845969975806</c:v>
                </c:pt>
                <c:pt idx="121">
                  <c:v>0.33366063233140519</c:v>
                </c:pt>
                <c:pt idx="122">
                  <c:v>0.30380153196352055</c:v>
                </c:pt>
                <c:pt idx="123">
                  <c:v>0.27470027232769079</c:v>
                </c:pt>
                <c:pt idx="124">
                  <c:v>0.24666777380595351</c:v>
                </c:pt>
                <c:pt idx="125">
                  <c:v>0.21996319915668597</c:v>
                </c:pt>
                <c:pt idx="126">
                  <c:v>0.19479243876969699</c:v>
                </c:pt>
                <c:pt idx="127">
                  <c:v>0.17130849713028615</c:v>
                </c:pt>
                <c:pt idx="128">
                  <c:v>0.14961356125824402</c:v>
                </c:pt>
                <c:pt idx="129">
                  <c:v>0.1297624801103002</c:v>
                </c:pt>
                <c:pt idx="130">
                  <c:v>0.11176735221817093</c:v>
                </c:pt>
                <c:pt idx="131">
                  <c:v>9.5602906706607649E-2</c:v>
                </c:pt>
                <c:pt idx="132">
                  <c:v>8.1212368623410927E-2</c:v>
                </c:pt>
                <c:pt idx="133">
                  <c:v>6.8513520607278583E-2</c:v>
                </c:pt>
                <c:pt idx="134">
                  <c:v>5.7404706077939661E-2</c:v>
                </c:pt>
                <c:pt idx="135">
                  <c:v>4.7770560792544291E-2</c:v>
                </c:pt>
                <c:pt idx="136">
                  <c:v>3.9487306178241657E-2</c:v>
                </c:pt>
                <c:pt idx="137">
                  <c:v>3.2427485948509957E-2</c:v>
                </c:pt>
                <c:pt idx="138">
                  <c:v>2.6464074179970831E-2</c:v>
                </c:pt>
                <c:pt idx="139">
                  <c:v>2.1473925853355589E-2</c:v>
                </c:pt>
                <c:pt idx="140">
                  <c:v>1.7340578047464441E-2</c:v>
                </c:pt>
                <c:pt idx="141">
                  <c:v>1.3956440342264866E-2</c:v>
                </c:pt>
                <c:pt idx="142">
                  <c:v>1.122443594420512E-2</c:v>
                </c:pt>
                <c:pt idx="143">
                  <c:v>9.0591705081994219E-3</c:v>
                </c:pt>
                <c:pt idx="144">
                  <c:v>7.3877139198394084E-3</c:v>
                </c:pt>
                <c:pt idx="145">
                  <c:v>6.1500820419223461E-3</c:v>
                </c:pt>
                <c:pt idx="146">
                  <c:v>5.2995014405532101E-3</c:v>
                </c:pt>
                <c:pt idx="147">
                  <c:v>4.802531310247514E-3</c:v>
                </c:pt>
                <c:pt idx="148">
                  <c:v>4.6391041673673663E-3</c:v>
                </c:pt>
                <c:pt idx="149">
                  <c:v>4.8025313102488662E-3</c:v>
                </c:pt>
                <c:pt idx="150">
                  <c:v>5.2995014405559683E-3</c:v>
                </c:pt>
                <c:pt idx="151">
                  <c:v>6.1500820419266196E-3</c:v>
                </c:pt>
                <c:pt idx="152">
                  <c:v>7.3877139198453654E-3</c:v>
                </c:pt>
                <c:pt idx="153">
                  <c:v>9.0591705082072836E-3</c:v>
                </c:pt>
                <c:pt idx="154">
                  <c:v>1.1224435944215161E-2</c:v>
                </c:pt>
                <c:pt idx="155">
                  <c:v>1.3956440342277408E-2</c:v>
                </c:pt>
                <c:pt idx="156">
                  <c:v>1.7340578047479863E-2</c:v>
                </c:pt>
                <c:pt idx="157">
                  <c:v>2.1473925853374324E-2</c:v>
                </c:pt>
                <c:pt idx="158">
                  <c:v>2.6464074179993313E-2</c:v>
                </c:pt>
                <c:pt idx="159">
                  <c:v>3.2427485948536706E-2</c:v>
                </c:pt>
                <c:pt idx="160">
                  <c:v>3.9487306178273188E-2</c:v>
                </c:pt>
                <c:pt idx="161">
                  <c:v>4.7770560792581129E-2</c:v>
                </c:pt>
                <c:pt idx="162">
                  <c:v>5.7404706077982322E-2</c:v>
                </c:pt>
                <c:pt idx="163">
                  <c:v>6.8513520607327585E-2</c:v>
                </c:pt>
                <c:pt idx="164">
                  <c:v>8.1212368623466688E-2</c:v>
                </c:pt>
                <c:pt idx="165">
                  <c:v>9.5602906706670557E-2</c:v>
                </c:pt>
                <c:pt idx="166">
                  <c:v>0.11176735221824129</c:v>
                </c:pt>
                <c:pt idx="167">
                  <c:v>0.12976248011037819</c:v>
                </c:pt>
                <c:pt idx="168">
                  <c:v>0.14961356125832967</c:v>
                </c:pt>
                <c:pt idx="169">
                  <c:v>0.17130849713037932</c:v>
                </c:pt>
                <c:pt idx="170">
                  <c:v>0.19479243876979735</c:v>
                </c:pt>
                <c:pt idx="171">
                  <c:v>0.21996319915679297</c:v>
                </c:pt>
                <c:pt idx="172">
                  <c:v>0.24666777380606647</c:v>
                </c:pt>
                <c:pt idx="173">
                  <c:v>0.27470027232780869</c:v>
                </c:pt>
                <c:pt idx="174">
                  <c:v>0.30380153196364235</c:v>
                </c:pt>
                <c:pt idx="175">
                  <c:v>0.33366063233152932</c:v>
                </c:pt>
                <c:pt idx="176">
                  <c:v>0.36391845969988301</c:v>
                </c:pt>
                <c:pt idx="177">
                  <c:v>0.39417338148324532</c:v>
                </c:pt>
                <c:pt idx="178">
                  <c:v>0.42398899121171923</c:v>
                </c:pt>
                <c:pt idx="179">
                  <c:v>0.45290377620724837</c:v>
                </c:pt>
                <c:pt idx="180">
                  <c:v>0.4804424508881398</c:v>
                </c:pt>
                <c:pt idx="181">
                  <c:v>0.50612859496186147</c:v>
                </c:pt>
                <c:pt idx="182">
                  <c:v>0.52949814486612401</c:v>
                </c:pt>
                <c:pt idx="183">
                  <c:v>0.55011321541549485</c:v>
                </c:pt>
                <c:pt idx="184">
                  <c:v>0.56757568251396073</c:v>
                </c:pt>
                <c:pt idx="185">
                  <c:v>0.58153994137356435</c:v>
                </c:pt>
                <c:pt idx="186">
                  <c:v>0.59172427044786824</c:v>
                </c:pt>
                <c:pt idx="187">
                  <c:v>0.59792027961500815</c:v>
                </c:pt>
                <c:pt idx="188">
                  <c:v>0.60000000013402799</c:v>
                </c:pt>
                <c:pt idx="189">
                  <c:v>0.59792027945885962</c:v>
                </c:pt>
                <c:pt idx="190">
                  <c:v>0.59172427008988626</c:v>
                </c:pt>
                <c:pt idx="191">
                  <c:v>0.58153994071041482</c:v>
                </c:pt>
                <c:pt idx="192">
                  <c:v>0.56757568135798486</c:v>
                </c:pt>
                <c:pt idx="193">
                  <c:v>0.5501132134472938</c:v>
                </c:pt>
                <c:pt idx="194">
                  <c:v>0.52949814155594477</c:v>
                </c:pt>
                <c:pt idx="195">
                  <c:v>0.50612858944293182</c:v>
                </c:pt>
                <c:pt idx="196">
                  <c:v>0.48044244175569956</c:v>
                </c:pt>
                <c:pt idx="197">
                  <c:v>0.45290376120305897</c:v>
                </c:pt>
                <c:pt idx="198">
                  <c:v>0.42398896673323211</c:v>
                </c:pt>
                <c:pt idx="199">
                  <c:v>0.3941733418263762</c:v>
                </c:pt>
                <c:pt idx="200">
                  <c:v>0.36391839590041042</c:v>
                </c:pt>
                <c:pt idx="201">
                  <c:v>0.33366053040689958</c:v>
                </c:pt>
                <c:pt idx="202">
                  <c:v>0.30380137026687659</c:v>
                </c:pt>
                <c:pt idx="203">
                  <c:v>0.27470001759822887</c:v>
                </c:pt>
                <c:pt idx="204">
                  <c:v>0.24666737532456787</c:v>
                </c:pt>
                <c:pt idx="205">
                  <c:v>0.21996258016951156</c:v>
                </c:pt>
                <c:pt idx="206">
                  <c:v>0.19479148401202115</c:v>
                </c:pt>
                <c:pt idx="207">
                  <c:v>0.17130703483628892</c:v>
                </c:pt>
                <c:pt idx="208">
                  <c:v>0.14961133745030145</c:v>
                </c:pt>
                <c:pt idx="209">
                  <c:v>0.12975912218781688</c:v>
                </c:pt>
                <c:pt idx="210">
                  <c:v>0.11176231786981299</c:v>
                </c:pt>
                <c:pt idx="211">
                  <c:v>9.5595412908917668E-2</c:v>
                </c:pt>
                <c:pt idx="212">
                  <c:v>8.1201293922178286E-2</c:v>
                </c:pt>
                <c:pt idx="213">
                  <c:v>6.8497271972056961E-2</c:v>
                </c:pt>
                <c:pt idx="214">
                  <c:v>5.7381039356749368E-2</c:v>
                </c:pt>
                <c:pt idx="215">
                  <c:v>4.7736341182398868E-2</c:v>
                </c:pt>
                <c:pt idx="216">
                  <c:v>3.9438192219717165E-2</c:v>
                </c:pt>
                <c:pt idx="217">
                  <c:v>3.2357517463127511E-2</c:v>
                </c:pt>
                <c:pt idx="218">
                  <c:v>2.6365141496565329E-2</c:v>
                </c:pt>
                <c:pt idx="219">
                  <c:v>2.133509492322767E-2</c:v>
                </c:pt>
                <c:pt idx="220">
                  <c:v>1.7147244074163178E-2</c:v>
                </c:pt>
                <c:pt idx="221">
                  <c:v>1.3689281957275982E-2</c:v>
                </c:pt>
                <c:pt idx="222">
                  <c:v>1.0858143529073853E-2</c:v>
                </c:pt>
                <c:pt idx="223">
                  <c:v>8.5609269619502555E-3</c:v>
                </c:pt>
                <c:pt idx="224">
                  <c:v>6.7154151259604094E-3</c:v>
                </c:pt>
                <c:pt idx="225">
                  <c:v>5.2502987439541392E-3</c:v>
                </c:pt>
                <c:pt idx="226">
                  <c:v>4.1052054578290453E-3</c:v>
                </c:pt>
                <c:pt idx="227">
                  <c:v>3.2306381735856819E-3</c:v>
                </c:pt>
                <c:pt idx="228">
                  <c:v>2.5879221860128417E-3</c:v>
                </c:pt>
                <c:pt idx="229">
                  <c:v>2.1492541088617111E-3</c:v>
                </c:pt>
                <c:pt idx="230">
                  <c:v>1.8979366060566298E-3</c:v>
                </c:pt>
                <c:pt idx="231">
                  <c:v>1.8288710183725582E-3</c:v>
                </c:pt>
                <c:pt idx="232">
                  <c:v>1.9493645405579715E-3</c:v>
                </c:pt>
                <c:pt idx="233">
                  <c:v>2.2802886791359342E-3</c:v>
                </c:pt>
                <c:pt idx="234">
                  <c:v>2.8576002198326695E-3</c:v>
                </c:pt>
                <c:pt idx="235">
                  <c:v>3.7342038200897294E-3</c:v>
                </c:pt>
                <c:pt idx="236">
                  <c:v>4.9820958966253328E-3</c:v>
                </c:pt>
                <c:pt idx="237">
                  <c:v>6.6946826039212103E-3</c:v>
                </c:pt>
                <c:pt idx="238">
                  <c:v>8.9891112525676223E-3</c:v>
                </c:pt>
                <c:pt idx="239">
                  <c:v>1.200839661753015E-2</c:v>
                </c:pt>
                <c:pt idx="240">
                  <c:v>1.5923064867559265E-2</c:v>
                </c:pt>
                <c:pt idx="241">
                  <c:v>2.0931983569907199E-2</c:v>
                </c:pt>
                <c:pt idx="242">
                  <c:v>2.7262003209451654E-2</c:v>
                </c:pt>
                <c:pt idx="243">
                  <c:v>3.5166011968655306E-2</c:v>
                </c:pt>
                <c:pt idx="244">
                  <c:v>4.4919009841597329E-2</c:v>
                </c:pt>
                <c:pt idx="245">
                  <c:v>5.6811848939566437E-2</c:v>
                </c:pt>
                <c:pt idx="246">
                  <c:v>7.1142371114588959E-2</c:v>
                </c:pt>
                <c:pt idx="247">
                  <c:v>8.8203806077745889E-2</c:v>
                </c:pt>
                <c:pt idx="248">
                  <c:v>0.10827047324225461</c:v>
                </c:pt>
                <c:pt idx="249">
                  <c:v>0.13158105353784305</c:v>
                </c:pt>
                <c:pt idx="250">
                  <c:v>0.15831995231655871</c:v>
                </c:pt>
                <c:pt idx="251">
                  <c:v>0.18859754381458491</c:v>
                </c:pt>
                <c:pt idx="252">
                  <c:v>0.22243034834708897</c:v>
                </c:pt>
                <c:pt idx="253">
                  <c:v>0.25972241812208446</c:v>
                </c:pt>
                <c:pt idx="254">
                  <c:v>0.30024936695607995</c:v>
                </c:pt>
                <c:pt idx="255">
                  <c:v>0.34364654509383485</c:v>
                </c:pt>
                <c:pt idx="256">
                  <c:v>0.38940280930896815</c:v>
                </c:pt>
                <c:pt idx="257">
                  <c:v>0.43686115534472775</c:v>
                </c:pt>
                <c:pt idx="258">
                  <c:v>0.48522716092451934</c:v>
                </c:pt>
                <c:pt idx="259">
                  <c:v>0.53358574319830376</c:v>
                </c:pt>
                <c:pt idx="260">
                  <c:v>0.58092618945012442</c:v>
                </c:pt>
                <c:pt idx="261">
                  <c:v>0.62617481286564236</c:v>
                </c:pt>
                <c:pt idx="262">
                  <c:v>0.66823396598703722</c:v>
                </c:pt>
                <c:pt idx="263">
                  <c:v>0.70602556975221042</c:v>
                </c:pt>
                <c:pt idx="264">
                  <c:v>0.73853684333192138</c:v>
                </c:pt>
                <c:pt idx="265">
                  <c:v>0.76486560154389671</c:v>
                </c:pt>
                <c:pt idx="266">
                  <c:v>0.78426236289912055</c:v>
                </c:pt>
                <c:pt idx="267">
                  <c:v>0.79616660564255171</c:v>
                </c:pt>
                <c:pt idx="268">
                  <c:v>0.80023482397355006</c:v>
                </c:pt>
                <c:pt idx="269">
                  <c:v>0.79635855222579532</c:v>
                </c:pt>
                <c:pt idx="270">
                  <c:v>0.78467120038207094</c:v>
                </c:pt>
                <c:pt idx="271">
                  <c:v>0.76554332185659524</c:v>
                </c:pt>
                <c:pt idx="272">
                  <c:v>0.73956674459846283</c:v>
                </c:pt>
                <c:pt idx="273">
                  <c:v>0.70752876585791091</c:v>
                </c:pt>
                <c:pt idx="274">
                  <c:v>0.67037826991885108</c:v>
                </c:pt>
                <c:pt idx="275">
                  <c:v>0.62918611860098606</c:v>
                </c:pt>
                <c:pt idx="276">
                  <c:v>0.58510244568654213</c:v>
                </c:pt>
                <c:pt idx="277">
                  <c:v>0.53931353939734294</c:v>
                </c:pt>
                <c:pt idx="278">
                  <c:v>0.49300082534706197</c:v>
                </c:pt>
                <c:pt idx="279">
                  <c:v>0.44730409156013373</c:v>
                </c:pt>
                <c:pt idx="280">
                  <c:v>0.40329057108897137</c:v>
                </c:pt>
                <c:pt idx="281">
                  <c:v>0.36193087346623154</c:v>
                </c:pt>
                <c:pt idx="282">
                  <c:v>0.32408209739522553</c:v>
                </c:pt>
                <c:pt idx="283">
                  <c:v>0.29047782742295536</c:v>
                </c:pt>
                <c:pt idx="284">
                  <c:v>0.26172417434635209</c:v>
                </c:pt>
                <c:pt idx="285">
                  <c:v>0.23830060886235799</c:v>
                </c:pt>
                <c:pt idx="286">
                  <c:v>0.22056409148840472</c:v>
                </c:pt>
                <c:pt idx="287">
                  <c:v>0.20875493297482928</c:v>
                </c:pt>
                <c:pt idx="288">
                  <c:v>0.20300292485490898</c:v>
                </c:pt>
                <c:pt idx="289">
                  <c:v>0.20333253984761129</c:v>
                </c:pt>
                <c:pt idx="290">
                  <c:v>0.20966638332607898</c:v>
                </c:pt>
                <c:pt idx="291">
                  <c:v>0.22182653658087872</c:v>
                </c:pt>
                <c:pt idx="292">
                  <c:v>0.23953392058463283</c:v>
                </c:pt>
                <c:pt idx="293">
                  <c:v>0.26240627404968725</c:v>
                </c:pt>
                <c:pt idx="294">
                  <c:v>0.28995573298380567</c:v>
                </c:pt>
                <c:pt idx="295">
                  <c:v>0.32158727863083614</c:v>
                </c:pt>
                <c:pt idx="296">
                  <c:v>0.35659945496771434</c:v>
                </c:pt>
                <c:pt idx="297">
                  <c:v>0.3941887275033748</c:v>
                </c:pt>
                <c:pt idx="298">
                  <c:v>0.4334586590299091</c:v>
                </c:pt>
                <c:pt idx="299">
                  <c:v>0.47343472841316753</c:v>
                </c:pt>
                <c:pt idx="300">
                  <c:v>0.51308514426880369</c:v>
                </c:pt>
                <c:pt idx="301">
                  <c:v>0.55134744877749997</c:v>
                </c:pt>
                <c:pt idx="302">
                  <c:v>0.58716012031814124</c:v>
                </c:pt>
                <c:pt idx="303">
                  <c:v>0.61949782471025872</c:v>
                </c:pt>
                <c:pt idx="304">
                  <c:v>0.64740849102566189</c:v>
                </c:pt>
                <c:pt idx="305">
                  <c:v>0.67005005029303399</c:v>
                </c:pt>
                <c:pt idx="306">
                  <c:v>0.68672451328614892</c:v>
                </c:pt>
                <c:pt idx="307">
                  <c:v>0.69690709983596522</c:v>
                </c:pt>
                <c:pt idx="308">
                  <c:v>0.70026837021400301</c:v>
                </c:pt>
                <c:pt idx="309">
                  <c:v>0.69668773226379965</c:v>
                </c:pt>
                <c:pt idx="310">
                  <c:v>0.68625727033743344</c:v>
                </c:pt>
                <c:pt idx="311">
                  <c:v>0.66927551258716433</c:v>
                </c:pt>
                <c:pt idx="312">
                  <c:v>0.64623146064843517</c:v>
                </c:pt>
                <c:pt idx="313">
                  <c:v>0.617779885693852</c:v>
                </c:pt>
                <c:pt idx="314">
                  <c:v>0.58470948622770713</c:v>
                </c:pt>
                <c:pt idx="315">
                  <c:v>0.54790595479897131</c:v>
                </c:pt>
                <c:pt idx="316">
                  <c:v>0.50831227716983729</c:v>
                </c:pt>
                <c:pt idx="317">
                  <c:v>0.46688867096659531</c:v>
                </c:pt>
                <c:pt idx="318">
                  <c:v>0.42457446353537115</c:v>
                </c:pt>
                <c:pt idx="319">
                  <c:v>0.38225393097038957</c:v>
                </c:pt>
                <c:pt idx="320">
                  <c:v>0.34072770744847514</c:v>
                </c:pt>
                <c:pt idx="321">
                  <c:v>0.30069087175510539</c:v>
                </c:pt>
                <c:pt idx="322">
                  <c:v>0.26271827663199532</c:v>
                </c:pt>
                <c:pt idx="323">
                  <c:v>0.22725715583761261</c:v>
                </c:pt>
                <c:pt idx="324">
                  <c:v>0.19462656721541816</c:v>
                </c:pt>
                <c:pt idx="325">
                  <c:v>0.16502284148151522</c:v>
                </c:pt>
                <c:pt idx="326">
                  <c:v>0.13852992763859981</c:v>
                </c:pt>
                <c:pt idx="327">
                  <c:v>0.11513336581662614</c:v>
                </c:pt>
                <c:pt idx="328">
                  <c:v>9.4736573776111208E-2</c:v>
                </c:pt>
                <c:pt idx="329">
                  <c:v>7.7178191043427977E-2</c:v>
                </c:pt>
                <c:pt idx="330">
                  <c:v>6.2249364151570723E-2</c:v>
                </c:pt>
                <c:pt idx="331">
                  <c:v>4.9710053095659089E-2</c:v>
                </c:pt>
                <c:pt idx="332">
                  <c:v>3.9303667238732388E-2</c:v>
                </c:pt>
                <c:pt idx="333">
                  <c:v>3.0769574572916372E-2</c:v>
                </c:pt>
                <c:pt idx="334">
                  <c:v>2.3853251240958204E-2</c:v>
                </c:pt>
                <c:pt idx="335">
                  <c:v>1.8314033342077946E-2</c:v>
                </c:pt>
                <c:pt idx="336">
                  <c:v>1.3930590567467498E-2</c:v>
                </c:pt>
                <c:pt idx="337">
                  <c:v>1.0504356726827421E-2</c:v>
                </c:pt>
                <c:pt idx="338">
                  <c:v>7.8612259333572312E-3</c:v>
                </c:pt>
                <c:pt idx="339">
                  <c:v>5.8518588728510151E-3</c:v>
                </c:pt>
                <c:pt idx="340">
                  <c:v>4.350947344876962E-3</c:v>
                </c:pt>
                <c:pt idx="341">
                  <c:v>3.2557645175693584E-3</c:v>
                </c:pt>
                <c:pt idx="342">
                  <c:v>2.484290697075267E-3</c:v>
                </c:pt>
                <c:pt idx="343">
                  <c:v>1.9731569366817771E-3</c:v>
                </c:pt>
                <c:pt idx="344">
                  <c:v>1.6755974731696818E-3</c:v>
                </c:pt>
                <c:pt idx="345">
                  <c:v>1.5595513898947564E-3</c:v>
                </c:pt>
                <c:pt idx="346">
                  <c:v>1.6060072523575669E-3</c:v>
                </c:pt>
                <c:pt idx="347">
                  <c:v>1.8076436047765637E-3</c:v>
                </c:pt>
                <c:pt idx="348">
                  <c:v>2.1677839092804647E-3</c:v>
                </c:pt>
                <c:pt idx="349">
                  <c:v>2.6996566711183843E-3</c:v>
                </c:pt>
                <c:pt idx="350">
                  <c:v>3.4259294935392367E-3</c:v>
                </c:pt>
                <c:pt idx="351">
                  <c:v>4.3784687337615046E-3</c:v>
                </c:pt>
                <c:pt idx="352">
                  <c:v>5.5982633217706995E-3</c:v>
                </c:pt>
                <c:pt idx="353">
                  <c:v>7.1354413115522503E-3</c:v>
                </c:pt>
                <c:pt idx="354">
                  <c:v>9.0493002524626408E-3</c:v>
                </c:pt>
                <c:pt idx="355">
                  <c:v>1.1408267190547702E-2</c:v>
                </c:pt>
                <c:pt idx="356">
                  <c:v>1.4289701045305194E-2</c:v>
                </c:pt>
                <c:pt idx="357">
                  <c:v>1.7779449554986265E-2</c:v>
                </c:pt>
                <c:pt idx="358">
                  <c:v>2.1971075468947242E-2</c:v>
                </c:pt>
                <c:pt idx="359">
                  <c:v>2.6964672854515814E-2</c:v>
                </c:pt>
                <c:pt idx="360">
                  <c:v>3.2865204976892007E-2</c:v>
                </c:pt>
                <c:pt idx="361">
                  <c:v>3.9780310816704856E-2</c:v>
                </c:pt>
                <c:pt idx="362">
                  <c:v>4.7817548316413445E-2</c:v>
                </c:pt>
                <c:pt idx="363">
                  <c:v>5.7081068975389407E-2</c:v>
                </c:pt>
                <c:pt idx="364">
                  <c:v>6.7667750101083696E-2</c:v>
                </c:pt>
                <c:pt idx="365">
                  <c:v>7.9662847026927497E-2</c:v>
                </c:pt>
                <c:pt idx="366">
                  <c:v>9.3135266543761086E-2</c:v>
                </c:pt>
                <c:pt idx="367">
                  <c:v>0.10813260274372241</c:v>
                </c:pt>
                <c:pt idx="368">
                  <c:v>0.12467611504972373</c:v>
                </c:pt>
                <c:pt idx="369">
                  <c:v>0.14275586264094925</c:v>
                </c:pt>
                <c:pt idx="370">
                  <c:v>0.16232623682672531</c:v>
                </c:pt>
                <c:pt idx="371">
                  <c:v>0.1833021502216558</c:v>
                </c:pt>
                <c:pt idx="372">
                  <c:v>0.20555614614649884</c:v>
                </c:pt>
                <c:pt idx="373">
                  <c:v>0.22891668135434354</c:v>
                </c:pt>
                <c:pt idx="374">
                  <c:v>0.25316780856749244</c:v>
                </c:pt>
                <c:pt idx="375">
                  <c:v>0.27805044201186618</c:v>
                </c:pt>
                <c:pt idx="376">
                  <c:v>0.30326532992016098</c:v>
                </c:pt>
                <c:pt idx="377">
                  <c:v>0.32847778485688334</c:v>
                </c:pt>
                <c:pt idx="378">
                  <c:v>0.35332413894501702</c:v>
                </c:pt>
                <c:pt idx="379">
                  <c:v>0.37741980100254935</c:v>
                </c:pt>
                <c:pt idx="380">
                  <c:v>0.40036870146239739</c:v>
                </c:pt>
                <c:pt idx="381">
                  <c:v>0.42177382453410378</c:v>
                </c:pt>
                <c:pt idx="382">
                  <c:v>0.44124845129329643</c:v>
                </c:pt>
                <c:pt idx="383">
                  <c:v>0.45842767786652761</c:v>
                </c:pt>
                <c:pt idx="384">
                  <c:v>0.47297973445365465</c:v>
                </c:pt>
                <c:pt idx="385">
                  <c:v>0.48461661723832028</c:v>
                </c:pt>
                <c:pt idx="386">
                  <c:v>0.4931035583720384</c:v>
                </c:pt>
                <c:pt idx="387">
                  <c:v>0.49826689948522307</c:v>
                </c:pt>
                <c:pt idx="388">
                  <c:v>0.50000000000000888</c:v>
                </c:pt>
                <c:pt idx="389">
                  <c:v>0.49826689948517</c:v>
                </c:pt>
                <c:pt idx="390">
                  <c:v>0.49310355837192366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DD-4EE9-A7FD-A07EB890A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812447"/>
        <c:axId val="2037812927"/>
      </c:lineChart>
      <c:catAx>
        <c:axId val="203781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7812927"/>
        <c:crosses val="autoZero"/>
        <c:auto val="1"/>
        <c:lblAlgn val="ctr"/>
        <c:lblOffset val="100"/>
        <c:noMultiLvlLbl val="0"/>
      </c:catAx>
      <c:valAx>
        <c:axId val="203781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781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139170</xdr:colOff>
      <xdr:row>18</xdr:row>
      <xdr:rowOff>141409</xdr:rowOff>
    </xdr:from>
    <xdr:to>
      <xdr:col>4</xdr:col>
      <xdr:colOff>834572</xdr:colOff>
      <xdr:row>30</xdr:row>
      <xdr:rowOff>163244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CDEA26-604B-C181-316F-80B9EE2AA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170" y="3769980"/>
          <a:ext cx="3888545" cy="24045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205740</xdr:colOff>
      <xdr:row>2</xdr:row>
      <xdr:rowOff>133350</xdr:rowOff>
    </xdr:from>
    <xdr:ext cx="2415540" cy="4621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3C70DA9A-897D-8356-8484-B0E2A8B5727D}"/>
                </a:ext>
              </a:extLst>
            </xdr:cNvPr>
            <xdr:cNvSpPr txBox="1"/>
          </xdr:nvSpPr>
          <xdr:spPr>
            <a:xfrm>
              <a:off x="4587240" y="864870"/>
              <a:ext cx="2415540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</a:rPr>
                      <m:t>𝐷</m:t>
                    </m:r>
                    <m:d>
                      <m:d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s-CO" sz="1100" i="0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limLoc m:val="undOvr"/>
                        <m:grow m:val="on"/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s-CO" sz="110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s-CO" sz="1100" i="0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s-CO" sz="11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s-CO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s-CO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  <m:r>
                      <a:rPr lang="es-CO" sz="1100" i="0">
                        <a:latin typeface="Cambria Math" panose="02040503050406030204" pitchFamily="18" charset="0"/>
                      </a:rPr>
                      <m:t>⋅</m:t>
                    </m:r>
                    <m:func>
                      <m:func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s-CO" sz="1100" i="0">
                            <a:latin typeface="Cambria Math" panose="02040503050406030204" pitchFamily="18" charset="0"/>
                          </a:rPr>
                          <m:t>exp</m:t>
                        </m:r>
                      </m:fName>
                      <m:e>
                        <m:d>
                          <m:dPr>
                            <m:ctrlPr>
                              <a:rPr lang="es-CO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100" i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s-CO" sz="11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CO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s-CO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s-CO" sz="1100" i="1">
                                            <a:latin typeface="Cambria Math" panose="02040503050406030204" pitchFamily="18" charset="0"/>
                                          </a:rPr>
                                          <m:t>𝑡</m:t>
                                        </m:r>
                                        <m:r>
                                          <a:rPr lang="es-CO" sz="1100" i="0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sSub>
                                          <m:sSubPr>
                                            <m:ctrlPr>
                                              <a:rPr lang="es-CO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s-CO" sz="1100" i="1">
                                                <a:latin typeface="Cambria Math" panose="02040503050406030204" pitchFamily="18" charset="0"/>
                                              </a:rPr>
                                              <m:t>𝜇</m:t>
                                            </m:r>
                                          </m:e>
                                          <m:sub>
                                            <m:r>
                                              <a:rPr lang="es-CO" sz="110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  <m:sup>
                                    <m:r>
                                      <a:rPr lang="es-CO" sz="1100" i="0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s-CO" sz="110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sSubSup>
                                  <m:sSubSupPr>
                                    <m:ctrlPr>
                                      <a:rPr lang="es-CO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s-CO" sz="1100" i="1">
                                        <a:latin typeface="Cambria Math" panose="02040503050406030204" pitchFamily="18" charset="0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lang="es-CO" sz="110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s-CO" sz="1100" i="0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</m:e>
                        </m:d>
                      </m:e>
                    </m:func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3C70DA9A-897D-8356-8484-B0E2A8B5727D}"/>
                </a:ext>
              </a:extLst>
            </xdr:cNvPr>
            <xdr:cNvSpPr txBox="1"/>
          </xdr:nvSpPr>
          <xdr:spPr>
            <a:xfrm>
              <a:off x="4587240" y="864870"/>
              <a:ext cx="2415540" cy="462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</a:rPr>
                <a:t>𝐷(𝑡)=∑129_(𝑖=1)^𝑛▒𝐴_𝑖 ⋅exp⁡(−(𝑡−𝜇_𝑖 )^2/(2𝜎_𝑖^2 ))</a:t>
              </a:r>
              <a:endParaRPr lang="es-CO" sz="1100"/>
            </a:p>
          </xdr:txBody>
        </xdr:sp>
      </mc:Fallback>
    </mc:AlternateContent>
    <xdr:clientData/>
  </xdr:oneCellAnchor>
  <xdr:twoCellAnchor>
    <xdr:from>
      <xdr:col>4</xdr:col>
      <xdr:colOff>403860</xdr:colOff>
      <xdr:row>10</xdr:row>
      <xdr:rowOff>41910</xdr:rowOff>
    </xdr:from>
    <xdr:to>
      <xdr:col>10</xdr:col>
      <xdr:colOff>220980</xdr:colOff>
      <xdr:row>25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15F16D9-1775-2044-4961-12495311D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571500</xdr:colOff>
      <xdr:row>8</xdr:row>
      <xdr:rowOff>175260</xdr:rowOff>
    </xdr:from>
    <xdr:to>
      <xdr:col>16</xdr:col>
      <xdr:colOff>388620</xdr:colOff>
      <xdr:row>23</xdr:row>
      <xdr:rowOff>175260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09431A4-BE3D-4200-B081-CC3D75833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A239-ACC5-4254-B21C-D8A90D40B18A}">
  <dimension ref="A1:M75"/>
  <sheetViews>
    <sheetView zoomScale="94" workbookViewId="0">
      <selection activeCell="M14" sqref="M14"/>
    </sheetView>
  </sheetViews>
  <sheetFormatPr baseColWidth="10" defaultRowHeight="14.4" x14ac:dyDescent="0.3"/>
  <cols>
    <col min="5" max="5" width="14.77734375" customWidth="1"/>
    <col min="6" max="6" width="14.33203125" customWidth="1"/>
  </cols>
  <sheetData>
    <row r="1" spans="1:10" x14ac:dyDescent="0.3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2" t="s">
        <v>0</v>
      </c>
      <c r="B2" s="2" t="s">
        <v>14</v>
      </c>
      <c r="C2" s="2"/>
      <c r="D2" s="2"/>
      <c r="E2" s="2"/>
      <c r="F2" s="2"/>
      <c r="G2" s="2"/>
      <c r="H2" s="2"/>
      <c r="I2" s="2"/>
      <c r="J2" s="2" t="s">
        <v>15</v>
      </c>
    </row>
    <row r="3" spans="1:10" x14ac:dyDescent="0.3">
      <c r="A3" s="2"/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2"/>
    </row>
    <row r="4" spans="1:10" x14ac:dyDescent="0.3">
      <c r="A4" s="3" t="s">
        <v>1</v>
      </c>
      <c r="B4" s="3">
        <v>904</v>
      </c>
      <c r="C4" s="3">
        <v>5037</v>
      </c>
      <c r="D4" s="3">
        <v>2173</v>
      </c>
      <c r="E4" s="3">
        <v>3300</v>
      </c>
      <c r="F4" s="3">
        <v>3844</v>
      </c>
      <c r="G4" s="3">
        <v>4739</v>
      </c>
      <c r="H4" s="3">
        <v>6208</v>
      </c>
      <c r="I4" s="3">
        <v>1542</v>
      </c>
      <c r="J4" s="3">
        <f>SUM(B4:I4)</f>
        <v>27747</v>
      </c>
    </row>
    <row r="5" spans="1:10" x14ac:dyDescent="0.3">
      <c r="A5" s="3" t="s">
        <v>2</v>
      </c>
      <c r="B5" s="3">
        <v>7</v>
      </c>
      <c r="C5" s="3">
        <v>753</v>
      </c>
      <c r="D5" s="3">
        <v>1651</v>
      </c>
      <c r="E5" s="3">
        <v>2544</v>
      </c>
      <c r="F5" s="3">
        <v>3062</v>
      </c>
      <c r="G5" s="3">
        <v>4065</v>
      </c>
      <c r="H5" s="3">
        <v>5155</v>
      </c>
      <c r="I5" s="3">
        <v>973</v>
      </c>
      <c r="J5" s="3">
        <f t="shared" ref="J5:J8" si="0">SUM(B5:I5)</f>
        <v>18210</v>
      </c>
    </row>
    <row r="6" spans="1:10" x14ac:dyDescent="0.3">
      <c r="A6" s="3" t="s">
        <v>3</v>
      </c>
      <c r="B6" s="3"/>
      <c r="C6" s="3">
        <v>6</v>
      </c>
      <c r="D6" s="3">
        <v>8</v>
      </c>
      <c r="E6" s="3">
        <v>10</v>
      </c>
      <c r="F6" s="3">
        <v>124</v>
      </c>
      <c r="G6" s="3">
        <v>2828</v>
      </c>
      <c r="H6" s="3">
        <v>2804</v>
      </c>
      <c r="I6" s="3">
        <v>545</v>
      </c>
      <c r="J6" s="3">
        <f t="shared" si="0"/>
        <v>6325</v>
      </c>
    </row>
    <row r="7" spans="1:10" x14ac:dyDescent="0.3">
      <c r="A7" s="3" t="s">
        <v>4</v>
      </c>
      <c r="B7" s="3">
        <v>1230</v>
      </c>
      <c r="C7" s="3">
        <v>7796</v>
      </c>
      <c r="D7" s="3">
        <v>2865</v>
      </c>
      <c r="E7" s="3">
        <v>5559</v>
      </c>
      <c r="F7" s="3">
        <v>6285</v>
      </c>
      <c r="G7" s="3">
        <v>7622</v>
      </c>
      <c r="H7" s="3">
        <v>8425</v>
      </c>
      <c r="I7" s="3">
        <v>543</v>
      </c>
      <c r="J7" s="3">
        <f t="shared" si="0"/>
        <v>40325</v>
      </c>
    </row>
    <row r="8" spans="1:10" x14ac:dyDescent="0.3">
      <c r="A8" s="3" t="s">
        <v>5</v>
      </c>
      <c r="B8" s="3">
        <v>1251</v>
      </c>
      <c r="C8" s="3">
        <v>7032</v>
      </c>
      <c r="D8" s="3">
        <v>3137</v>
      </c>
      <c r="E8" s="3">
        <v>4088</v>
      </c>
      <c r="F8" s="3">
        <v>3621</v>
      </c>
      <c r="G8" s="3">
        <v>4774</v>
      </c>
      <c r="H8" s="3">
        <v>8272</v>
      </c>
      <c r="I8" s="3">
        <v>2272</v>
      </c>
      <c r="J8" s="3">
        <f t="shared" si="0"/>
        <v>34447</v>
      </c>
    </row>
    <row r="9" spans="1:10" x14ac:dyDescent="0.3">
      <c r="A9" s="3" t="s">
        <v>15</v>
      </c>
      <c r="B9" s="3">
        <f>SUM(B4:B8)</f>
        <v>3392</v>
      </c>
      <c r="C9" s="3">
        <f t="shared" ref="C9:I9" si="1">SUM(C4:C8)</f>
        <v>20624</v>
      </c>
      <c r="D9" s="3">
        <f t="shared" si="1"/>
        <v>9834</v>
      </c>
      <c r="E9" s="3">
        <f t="shared" si="1"/>
        <v>15501</v>
      </c>
      <c r="F9" s="3">
        <f t="shared" si="1"/>
        <v>16936</v>
      </c>
      <c r="G9" s="3">
        <f t="shared" si="1"/>
        <v>24028</v>
      </c>
      <c r="H9" s="3">
        <f t="shared" si="1"/>
        <v>30864</v>
      </c>
      <c r="I9" s="3">
        <f t="shared" si="1"/>
        <v>5875</v>
      </c>
      <c r="J9" s="3">
        <f>SUM(J4:J8)</f>
        <v>127054</v>
      </c>
    </row>
    <row r="10" spans="1:10" x14ac:dyDescent="0.3">
      <c r="J10" s="4"/>
    </row>
    <row r="11" spans="1:10" x14ac:dyDescent="0.3">
      <c r="D11" s="2" t="s">
        <v>28</v>
      </c>
      <c r="E11" s="2"/>
      <c r="F11" s="2"/>
      <c r="G11" s="2"/>
      <c r="H11" s="2"/>
      <c r="I11" s="2"/>
    </row>
    <row r="12" spans="1:10" ht="43.2" x14ac:dyDescent="0.3">
      <c r="A12" s="8" t="s">
        <v>17</v>
      </c>
      <c r="B12" s="9" t="s">
        <v>23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4</v>
      </c>
      <c r="I12" s="3" t="s">
        <v>5</v>
      </c>
    </row>
    <row r="13" spans="1:10" x14ac:dyDescent="0.3">
      <c r="A13" s="8" t="s">
        <v>18</v>
      </c>
      <c r="B13" s="8">
        <v>18763</v>
      </c>
      <c r="D13" s="3" t="s">
        <v>18</v>
      </c>
      <c r="E13" s="3">
        <v>4109</v>
      </c>
      <c r="F13" s="18">
        <v>2785</v>
      </c>
      <c r="G13" s="18">
        <v>903</v>
      </c>
      <c r="H13" s="18">
        <v>5672</v>
      </c>
      <c r="I13" s="18">
        <v>5294</v>
      </c>
    </row>
    <row r="14" spans="1:10" x14ac:dyDescent="0.3">
      <c r="A14" s="8" t="s">
        <v>19</v>
      </c>
      <c r="B14" s="8">
        <v>27791</v>
      </c>
      <c r="D14" s="3" t="s">
        <v>19</v>
      </c>
      <c r="E14" s="3">
        <v>6062</v>
      </c>
      <c r="F14" s="18">
        <v>3886</v>
      </c>
      <c r="G14" s="18">
        <v>1339</v>
      </c>
      <c r="H14" s="18">
        <v>8836</v>
      </c>
      <c r="I14" s="18">
        <v>7668</v>
      </c>
    </row>
    <row r="15" spans="1:10" x14ac:dyDescent="0.3">
      <c r="A15" s="8" t="s">
        <v>20</v>
      </c>
      <c r="B15" s="8">
        <v>29174</v>
      </c>
      <c r="D15" s="3" t="s">
        <v>20</v>
      </c>
      <c r="E15" s="3">
        <v>6135</v>
      </c>
      <c r="F15" s="18">
        <v>4144</v>
      </c>
      <c r="G15" s="18">
        <v>1453</v>
      </c>
      <c r="H15" s="18">
        <v>9296</v>
      </c>
      <c r="I15" s="18">
        <v>8146</v>
      </c>
    </row>
    <row r="16" spans="1:10" x14ac:dyDescent="0.3">
      <c r="A16" s="8" t="s">
        <v>21</v>
      </c>
      <c r="B16" s="8">
        <v>26000</v>
      </c>
      <c r="D16" s="3" t="s">
        <v>21</v>
      </c>
      <c r="E16" s="3">
        <v>5690</v>
      </c>
      <c r="F16" s="18">
        <v>3509</v>
      </c>
      <c r="G16" s="18">
        <v>1249</v>
      </c>
      <c r="H16" s="18">
        <v>8674</v>
      </c>
      <c r="I16" s="18">
        <v>6878</v>
      </c>
    </row>
    <row r="17" spans="1:13" x14ac:dyDescent="0.3">
      <c r="A17" s="8" t="s">
        <v>22</v>
      </c>
      <c r="B17" s="8">
        <v>25345</v>
      </c>
      <c r="D17" s="3" t="s">
        <v>22</v>
      </c>
      <c r="E17" s="3">
        <v>5759</v>
      </c>
      <c r="F17" s="18">
        <v>3886</v>
      </c>
      <c r="G17" s="18">
        <v>1381</v>
      </c>
      <c r="H17" s="18">
        <v>7847</v>
      </c>
      <c r="I17" s="18">
        <v>6472</v>
      </c>
    </row>
    <row r="18" spans="1:13" x14ac:dyDescent="0.3">
      <c r="A18" s="8" t="s">
        <v>15</v>
      </c>
      <c r="B18" s="8">
        <f>SUM(B13:B17)</f>
        <v>127073</v>
      </c>
      <c r="D18" s="3" t="s">
        <v>15</v>
      </c>
      <c r="E18" s="3">
        <f>SUM(E13:E17)</f>
        <v>27755</v>
      </c>
      <c r="F18" s="3">
        <f t="shared" ref="F18:I18" si="2">SUM(F13:F17)</f>
        <v>18210</v>
      </c>
      <c r="G18" s="3">
        <f t="shared" si="2"/>
        <v>6325</v>
      </c>
      <c r="H18" s="3">
        <f t="shared" si="2"/>
        <v>40325</v>
      </c>
      <c r="I18" s="3">
        <f t="shared" si="2"/>
        <v>34458</v>
      </c>
    </row>
    <row r="22" spans="1:13" ht="30.6" customHeight="1" x14ac:dyDescent="0.3">
      <c r="G22" s="19" t="s">
        <v>30</v>
      </c>
      <c r="H22" s="19"/>
      <c r="I22" s="19"/>
      <c r="J22" s="19"/>
      <c r="K22" s="19"/>
      <c r="L22" s="19"/>
      <c r="M22" s="19"/>
    </row>
    <row r="23" spans="1:13" x14ac:dyDescent="0.3">
      <c r="G23" s="2" t="s">
        <v>0</v>
      </c>
      <c r="H23" s="2" t="s">
        <v>29</v>
      </c>
      <c r="I23" s="2" t="s">
        <v>33</v>
      </c>
      <c r="J23" s="2"/>
      <c r="K23" s="2"/>
      <c r="L23" s="2"/>
      <c r="M23" s="2"/>
    </row>
    <row r="24" spans="1:13" x14ac:dyDescent="0.3">
      <c r="G24" s="2"/>
      <c r="H24" s="2"/>
      <c r="I24" s="3" t="s">
        <v>18</v>
      </c>
      <c r="J24" s="3" t="s">
        <v>19</v>
      </c>
      <c r="K24" s="3" t="s">
        <v>20</v>
      </c>
      <c r="L24" s="3" t="s">
        <v>21</v>
      </c>
      <c r="M24" s="3" t="s">
        <v>22</v>
      </c>
    </row>
    <row r="25" spans="1:13" x14ac:dyDescent="0.3">
      <c r="G25" s="3" t="s">
        <v>1</v>
      </c>
      <c r="H25" s="3">
        <f>E18/SUM($E$18:$I$18)</f>
        <v>0.21841775987031076</v>
      </c>
      <c r="I25" s="3">
        <f>H25*B$13</f>
        <v>4098.1724284466409</v>
      </c>
      <c r="J25" s="3">
        <f>H25*$B$14</f>
        <v>6070.0479645558062</v>
      </c>
      <c r="K25" s="3">
        <f>H25*$B$15</f>
        <v>6372.1197264564462</v>
      </c>
      <c r="L25" s="3">
        <f>H25*$B$16</f>
        <v>5678.86175662808</v>
      </c>
      <c r="M25" s="3">
        <f>H25*$B$17</f>
        <v>5535.7981239130258</v>
      </c>
    </row>
    <row r="26" spans="1:13" x14ac:dyDescent="0.3">
      <c r="G26" s="3" t="s">
        <v>2</v>
      </c>
      <c r="H26" s="3">
        <f>F18/SUM($E$18:$I$18)</f>
        <v>0.14330345549408607</v>
      </c>
      <c r="I26" s="3">
        <f t="shared" ref="I26:I29" si="3">H26*B$13</f>
        <v>2688.8027354355372</v>
      </c>
      <c r="J26" s="3">
        <f t="shared" ref="J26:J29" si="4">H26*$B$14</f>
        <v>3982.5463316361461</v>
      </c>
      <c r="K26" s="3">
        <f t="shared" ref="K26:K29" si="5">H26*$B$15</f>
        <v>4180.7350105844671</v>
      </c>
      <c r="L26" s="3">
        <f t="shared" ref="L26:L29" si="6">H26*$B$16</f>
        <v>3725.889842846238</v>
      </c>
      <c r="M26" s="3">
        <f t="shared" ref="M26:M29" si="7">H26*$B$17</f>
        <v>3632.0260794976116</v>
      </c>
    </row>
    <row r="27" spans="1:13" x14ac:dyDescent="0.3">
      <c r="G27" s="3" t="s">
        <v>3</v>
      </c>
      <c r="H27" s="3">
        <f>G18/SUM($E$18:$I$18)</f>
        <v>4.9774539044486241E-2</v>
      </c>
      <c r="I27" s="3">
        <f t="shared" si="3"/>
        <v>933.91967609169535</v>
      </c>
      <c r="J27" s="3">
        <f t="shared" si="4"/>
        <v>1383.2842145853172</v>
      </c>
      <c r="K27" s="3">
        <f t="shared" si="5"/>
        <v>1452.1224020838415</v>
      </c>
      <c r="L27" s="3">
        <f t="shared" si="6"/>
        <v>1294.1380151566423</v>
      </c>
      <c r="M27" s="3">
        <f t="shared" si="7"/>
        <v>1261.5356920825038</v>
      </c>
    </row>
    <row r="28" spans="1:13" x14ac:dyDescent="0.3">
      <c r="G28" s="3" t="s">
        <v>31</v>
      </c>
      <c r="H28" s="3">
        <f>H18/SUM($E$18:$I$18)</f>
        <v>0.31733727857215932</v>
      </c>
      <c r="I28" s="3">
        <f t="shared" si="3"/>
        <v>5954.1993578494257</v>
      </c>
      <c r="J28" s="3">
        <f t="shared" si="4"/>
        <v>8819.1203087988797</v>
      </c>
      <c r="K28" s="3">
        <f t="shared" si="5"/>
        <v>9257.9977650641758</v>
      </c>
      <c r="L28" s="3">
        <f t="shared" si="6"/>
        <v>8250.769242876142</v>
      </c>
      <c r="M28" s="3">
        <f t="shared" si="7"/>
        <v>8042.9133254113776</v>
      </c>
    </row>
    <row r="29" spans="1:13" x14ac:dyDescent="0.3">
      <c r="G29" s="3" t="s">
        <v>5</v>
      </c>
      <c r="H29" s="3">
        <f>I18/SUM($E$18:$I$18)</f>
        <v>0.27116696701895759</v>
      </c>
      <c r="I29" s="3">
        <f t="shared" si="3"/>
        <v>5087.9058021767014</v>
      </c>
      <c r="J29" s="3">
        <f t="shared" si="4"/>
        <v>7536.0011804238502</v>
      </c>
      <c r="K29" s="3">
        <f t="shared" si="5"/>
        <v>7911.0250958110691</v>
      </c>
      <c r="L29" s="3">
        <f t="shared" si="6"/>
        <v>7050.3411424928972</v>
      </c>
      <c r="M29" s="3">
        <f t="shared" si="7"/>
        <v>6872.7267790954802</v>
      </c>
    </row>
    <row r="30" spans="1:13" x14ac:dyDescent="0.3">
      <c r="G30" s="22" t="s">
        <v>32</v>
      </c>
      <c r="H30" s="22">
        <f>SUM(H25:H29)</f>
        <v>1</v>
      </c>
    </row>
    <row r="42" spans="1:2" x14ac:dyDescent="0.3">
      <c r="A42" s="10"/>
      <c r="B42" s="10"/>
    </row>
    <row r="43" spans="1:2" x14ac:dyDescent="0.3">
      <c r="A43" s="11"/>
      <c r="B43" s="12"/>
    </row>
    <row r="44" spans="1:2" x14ac:dyDescent="0.3">
      <c r="A44" s="13"/>
      <c r="B44" s="14"/>
    </row>
    <row r="45" spans="1:2" x14ac:dyDescent="0.3">
      <c r="A45" s="13"/>
      <c r="B45" s="14"/>
    </row>
    <row r="46" spans="1:2" x14ac:dyDescent="0.3">
      <c r="A46" s="13"/>
      <c r="B46" s="14"/>
    </row>
    <row r="47" spans="1:2" x14ac:dyDescent="0.3">
      <c r="A47" s="13"/>
      <c r="B47" s="14"/>
    </row>
    <row r="48" spans="1:2" x14ac:dyDescent="0.3">
      <c r="A48" s="13"/>
      <c r="B48" s="14"/>
    </row>
    <row r="49" spans="1:2" x14ac:dyDescent="0.3">
      <c r="A49" s="11"/>
      <c r="B49" s="12"/>
    </row>
    <row r="50" spans="1:2" x14ac:dyDescent="0.3">
      <c r="A50" s="13"/>
      <c r="B50" s="14"/>
    </row>
    <row r="51" spans="1:2" x14ac:dyDescent="0.3">
      <c r="A51" s="13"/>
      <c r="B51" s="14"/>
    </row>
    <row r="52" spans="1:2" x14ac:dyDescent="0.3">
      <c r="A52" s="13"/>
      <c r="B52" s="14"/>
    </row>
    <row r="53" spans="1:2" x14ac:dyDescent="0.3">
      <c r="A53" s="13"/>
      <c r="B53" s="14"/>
    </row>
    <row r="54" spans="1:2" x14ac:dyDescent="0.3">
      <c r="A54" s="13"/>
      <c r="B54" s="14"/>
    </row>
    <row r="55" spans="1:2" x14ac:dyDescent="0.3">
      <c r="A55" s="11"/>
      <c r="B55" s="12"/>
    </row>
    <row r="56" spans="1:2" x14ac:dyDescent="0.3">
      <c r="A56" s="13"/>
      <c r="B56" s="14"/>
    </row>
    <row r="57" spans="1:2" x14ac:dyDescent="0.3">
      <c r="A57" s="13"/>
      <c r="B57" s="14"/>
    </row>
    <row r="58" spans="1:2" x14ac:dyDescent="0.3">
      <c r="A58" s="13"/>
      <c r="B58" s="14"/>
    </row>
    <row r="59" spans="1:2" x14ac:dyDescent="0.3">
      <c r="A59" s="13"/>
      <c r="B59" s="14"/>
    </row>
    <row r="60" spans="1:2" x14ac:dyDescent="0.3">
      <c r="A60" s="13"/>
      <c r="B60" s="14"/>
    </row>
    <row r="61" spans="1:2" x14ac:dyDescent="0.3">
      <c r="A61" s="11"/>
      <c r="B61" s="12"/>
    </row>
    <row r="62" spans="1:2" x14ac:dyDescent="0.3">
      <c r="A62" s="13"/>
      <c r="B62" s="14"/>
    </row>
    <row r="63" spans="1:2" x14ac:dyDescent="0.3">
      <c r="A63" s="13"/>
      <c r="B63" s="14"/>
    </row>
    <row r="64" spans="1:2" x14ac:dyDescent="0.3">
      <c r="A64" s="13"/>
      <c r="B64" s="14"/>
    </row>
    <row r="65" spans="1:2" x14ac:dyDescent="0.3">
      <c r="A65" s="13"/>
      <c r="B65" s="14"/>
    </row>
    <row r="66" spans="1:2" x14ac:dyDescent="0.3">
      <c r="A66" s="13"/>
      <c r="B66" s="14"/>
    </row>
    <row r="67" spans="1:2" x14ac:dyDescent="0.3">
      <c r="A67" s="11"/>
      <c r="B67" s="12"/>
    </row>
    <row r="68" spans="1:2" x14ac:dyDescent="0.3">
      <c r="A68" s="13"/>
      <c r="B68" s="14"/>
    </row>
    <row r="69" spans="1:2" x14ac:dyDescent="0.3">
      <c r="A69" s="13"/>
      <c r="B69" s="14"/>
    </row>
    <row r="70" spans="1:2" x14ac:dyDescent="0.3">
      <c r="A70" s="13"/>
      <c r="B70" s="14"/>
    </row>
    <row r="71" spans="1:2" x14ac:dyDescent="0.3">
      <c r="A71" s="13"/>
      <c r="B71" s="14"/>
    </row>
    <row r="72" spans="1:2" x14ac:dyDescent="0.3">
      <c r="A72" s="13"/>
      <c r="B72" s="14"/>
    </row>
    <row r="73" spans="1:2" x14ac:dyDescent="0.3">
      <c r="A73" s="11"/>
      <c r="B73" s="11"/>
    </row>
    <row r="74" spans="1:2" x14ac:dyDescent="0.3">
      <c r="A74" s="13"/>
      <c r="B74" s="15"/>
    </row>
    <row r="75" spans="1:2" x14ac:dyDescent="0.3">
      <c r="A75" s="16"/>
      <c r="B75" s="17"/>
    </row>
  </sheetData>
  <mergeCells count="9">
    <mergeCell ref="G23:G24"/>
    <mergeCell ref="H23:H24"/>
    <mergeCell ref="I23:M23"/>
    <mergeCell ref="G22:M22"/>
    <mergeCell ref="B2:I2"/>
    <mergeCell ref="A2:A3"/>
    <mergeCell ref="A1:J1"/>
    <mergeCell ref="J2:J3"/>
    <mergeCell ref="D11:I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E83C8-0AD2-490A-BA44-4D2BA775B24A}">
  <dimension ref="A1:J401"/>
  <sheetViews>
    <sheetView tabSelected="1" workbookViewId="0">
      <selection activeCell="K3" sqref="K3"/>
    </sheetView>
  </sheetViews>
  <sheetFormatPr baseColWidth="10" defaultRowHeight="14.4" x14ac:dyDescent="0.3"/>
  <cols>
    <col min="2" max="2" width="17.6640625" customWidth="1"/>
  </cols>
  <sheetData>
    <row r="1" spans="1:10" ht="43.2" x14ac:dyDescent="0.3">
      <c r="A1" s="3" t="s">
        <v>34</v>
      </c>
      <c r="B1" s="5" t="s">
        <v>39</v>
      </c>
      <c r="C1" s="5" t="s">
        <v>40</v>
      </c>
    </row>
    <row r="2" spans="1:10" x14ac:dyDescent="0.3">
      <c r="A2" s="3">
        <v>6.75</v>
      </c>
      <c r="B2" s="3">
        <v>0.2</v>
      </c>
      <c r="C2" s="3">
        <v>1</v>
      </c>
    </row>
    <row r="3" spans="1:10" x14ac:dyDescent="0.3">
      <c r="A3" s="3">
        <v>9</v>
      </c>
      <c r="B3" s="3">
        <v>0.3</v>
      </c>
      <c r="C3" s="3">
        <v>0.6</v>
      </c>
      <c r="F3" s="1"/>
      <c r="G3" s="1"/>
      <c r="H3" s="1"/>
      <c r="I3" s="1"/>
      <c r="J3" s="1"/>
    </row>
    <row r="4" spans="1:10" x14ac:dyDescent="0.3">
      <c r="A4" s="3">
        <v>11</v>
      </c>
      <c r="B4" s="3">
        <v>0.3</v>
      </c>
      <c r="C4" s="3">
        <v>0.6</v>
      </c>
      <c r="F4" s="1"/>
      <c r="G4" s="1"/>
      <c r="H4" s="1"/>
      <c r="I4" s="1"/>
      <c r="J4" s="1"/>
    </row>
    <row r="5" spans="1:10" x14ac:dyDescent="0.3">
      <c r="A5" s="3">
        <v>13</v>
      </c>
      <c r="B5" s="3">
        <v>0.25</v>
      </c>
      <c r="C5" s="3">
        <v>0.8</v>
      </c>
      <c r="F5" s="1"/>
      <c r="G5" s="1"/>
      <c r="H5" s="1"/>
      <c r="I5" s="1"/>
      <c r="J5" s="1"/>
    </row>
    <row r="6" spans="1:10" x14ac:dyDescent="0.3">
      <c r="A6" s="3">
        <v>14</v>
      </c>
      <c r="B6" s="3">
        <v>0.25</v>
      </c>
      <c r="C6" s="3">
        <v>0.7</v>
      </c>
      <c r="F6" s="1"/>
      <c r="G6" s="1"/>
      <c r="H6" s="1"/>
      <c r="I6" s="1"/>
      <c r="J6" s="1"/>
    </row>
    <row r="7" spans="1:10" x14ac:dyDescent="0.3">
      <c r="A7" s="3">
        <v>16</v>
      </c>
      <c r="B7" s="3">
        <v>0.3</v>
      </c>
      <c r="C7" s="3">
        <v>0.5</v>
      </c>
    </row>
    <row r="10" spans="1:10" x14ac:dyDescent="0.3">
      <c r="A10" t="s">
        <v>41</v>
      </c>
      <c r="B10" t="s">
        <v>42</v>
      </c>
    </row>
    <row r="11" spans="1:10" x14ac:dyDescent="0.3">
      <c r="A11">
        <v>6.3</v>
      </c>
      <c r="B11">
        <f>$C$2*EXP(-((A11-$A$2)^2/(2*$B$2^2)))+$C$3*EXP(-((A11-$A$3)^2/(2*$B$3^2)))+$C$4*EXP(-((A11-$A$4)^2/(2*$B$4^2)))+$C$5*EXP(-((A11-$A$5)^2/(2*$B$5^2)))+$C$6*EXP(-((A11-$A$6)^2/(2*$B$6^2)))+$C$7*EXP(-((A11-$A$7)^2/(2*$B$7^2)))</f>
        <v>7.9559508718227576E-2</v>
      </c>
    </row>
    <row r="12" spans="1:10" x14ac:dyDescent="0.3">
      <c r="A12">
        <f>A11+0.025</f>
        <v>6.3250000000000002</v>
      </c>
      <c r="B12">
        <f>$C$2*EXP(-((A12-$A$2)^2/(2*$B$2^2)))+$C$3*EXP(-((A12-$A$3)^2/(2*$B$3^2)))+$C$4*EXP(-((A12-$A$4)^2/(2*$B$4^2)))+$C$5*EXP(-((A12-$A$5)^2/(2*$B$5^2)))+$C$6*EXP(-((A12-$A$6)^2/(2*$B$6^2)))+$C$7*EXP(-((A12-$A$7)^2/(2*$B$7^2)))</f>
        <v>0.10457900128900169</v>
      </c>
    </row>
    <row r="13" spans="1:10" x14ac:dyDescent="0.3">
      <c r="A13">
        <f t="shared" ref="A13:A76" si="0">A12+0.025</f>
        <v>6.3500000000000005</v>
      </c>
      <c r="B13">
        <f t="shared" ref="B12:B75" si="1">$C$2*EXP(-((A13-$A$2)^2/(2*$B$2^2)))+$C$3*EXP(-((A13-$A$3)^2/(2*$B$3^2)))+$C$4*EXP(-((A13-$A$4)^2/(2*$B$4^2)))+$C$5*EXP(-((A13-$A$5)^2/(2*$B$5^2)))+$C$6*EXP(-((A13-$A$6)^2/(2*$B$6^2)))+$C$7*EXP(-((A13-$A$7)^2/(2*$B$7^2)))</f>
        <v>0.13533528323661345</v>
      </c>
    </row>
    <row r="14" spans="1:10" x14ac:dyDescent="0.3">
      <c r="A14">
        <f t="shared" si="0"/>
        <v>6.3750000000000009</v>
      </c>
      <c r="B14">
        <f t="shared" si="1"/>
        <v>0.17242162389375434</v>
      </c>
      <c r="G14" s="23"/>
    </row>
    <row r="15" spans="1:10" x14ac:dyDescent="0.3">
      <c r="A15">
        <f t="shared" si="0"/>
        <v>6.4000000000000012</v>
      </c>
      <c r="B15">
        <f t="shared" si="1"/>
        <v>0.21626516682988978</v>
      </c>
      <c r="G15" s="23"/>
    </row>
    <row r="16" spans="1:10" x14ac:dyDescent="0.3">
      <c r="A16">
        <f t="shared" si="0"/>
        <v>6.4250000000000016</v>
      </c>
      <c r="B16">
        <f t="shared" si="1"/>
        <v>0.26705183522634696</v>
      </c>
    </row>
    <row r="17" spans="1:2" x14ac:dyDescent="0.3">
      <c r="A17">
        <f t="shared" si="0"/>
        <v>6.450000000000002</v>
      </c>
      <c r="B17">
        <f t="shared" si="1"/>
        <v>0.32465246735835468</v>
      </c>
    </row>
    <row r="18" spans="1:2" x14ac:dyDescent="0.3">
      <c r="A18">
        <f t="shared" si="0"/>
        <v>6.4750000000000023</v>
      </c>
      <c r="B18">
        <f t="shared" si="1"/>
        <v>0.38855812751237057</v>
      </c>
    </row>
    <row r="19" spans="1:2" x14ac:dyDescent="0.3">
      <c r="A19">
        <f t="shared" si="0"/>
        <v>6.5000000000000027</v>
      </c>
      <c r="B19">
        <f t="shared" si="1"/>
        <v>0.45783336177162243</v>
      </c>
    </row>
    <row r="20" spans="1:2" x14ac:dyDescent="0.3">
      <c r="A20">
        <f t="shared" si="0"/>
        <v>6.525000000000003</v>
      </c>
      <c r="B20">
        <f t="shared" si="1"/>
        <v>0.53109599103535532</v>
      </c>
    </row>
    <row r="21" spans="1:2" x14ac:dyDescent="0.3">
      <c r="A21">
        <f t="shared" si="0"/>
        <v>6.5500000000000034</v>
      </c>
      <c r="B21">
        <f t="shared" si="1"/>
        <v>0.60653065971264575</v>
      </c>
    </row>
    <row r="22" spans="1:2" x14ac:dyDescent="0.3">
      <c r="A22">
        <f t="shared" si="0"/>
        <v>6.5750000000000037</v>
      </c>
      <c r="B22">
        <f t="shared" si="1"/>
        <v>0.68194075119036324</v>
      </c>
    </row>
    <row r="23" spans="1:2" x14ac:dyDescent="0.3">
      <c r="A23">
        <f t="shared" si="0"/>
        <v>6.6000000000000041</v>
      </c>
      <c r="B23">
        <f t="shared" si="1"/>
        <v>0.75483960198902644</v>
      </c>
    </row>
    <row r="24" spans="1:2" x14ac:dyDescent="0.3">
      <c r="A24">
        <f t="shared" si="0"/>
        <v>6.6250000000000044</v>
      </c>
      <c r="B24">
        <f t="shared" si="1"/>
        <v>0.82257756239869084</v>
      </c>
    </row>
    <row r="25" spans="1:2" x14ac:dyDescent="0.3">
      <c r="A25">
        <f t="shared" si="0"/>
        <v>6.6500000000000048</v>
      </c>
      <c r="B25">
        <f t="shared" si="1"/>
        <v>0.88249690258463442</v>
      </c>
    </row>
    <row r="26" spans="1:2" x14ac:dyDescent="0.3">
      <c r="A26">
        <f t="shared" si="0"/>
        <v>6.6750000000000052</v>
      </c>
      <c r="B26">
        <f t="shared" si="1"/>
        <v>0.93210249235959097</v>
      </c>
    </row>
    <row r="27" spans="1:2" x14ac:dyDescent="0.3">
      <c r="A27">
        <f t="shared" si="0"/>
        <v>6.7000000000000055</v>
      </c>
      <c r="B27">
        <f t="shared" si="1"/>
        <v>0.96923323447645426</v>
      </c>
    </row>
    <row r="28" spans="1:2" x14ac:dyDescent="0.3">
      <c r="A28">
        <f t="shared" si="0"/>
        <v>6.7250000000000059</v>
      </c>
      <c r="B28">
        <f t="shared" si="1"/>
        <v>0.99221793826044247</v>
      </c>
    </row>
    <row r="29" spans="1:2" x14ac:dyDescent="0.3">
      <c r="A29">
        <f t="shared" si="0"/>
        <v>6.7500000000000062</v>
      </c>
      <c r="B29">
        <f t="shared" si="1"/>
        <v>1.0000000000003662</v>
      </c>
    </row>
    <row r="30" spans="1:2" x14ac:dyDescent="0.3">
      <c r="A30">
        <f t="shared" si="0"/>
        <v>6.7750000000000066</v>
      </c>
      <c r="B30">
        <f t="shared" si="1"/>
        <v>0.99221793826092108</v>
      </c>
    </row>
    <row r="31" spans="1:2" x14ac:dyDescent="0.3">
      <c r="A31">
        <f t="shared" si="0"/>
        <v>6.8000000000000069</v>
      </c>
      <c r="B31">
        <f t="shared" si="1"/>
        <v>0.96923323447759591</v>
      </c>
    </row>
    <row r="32" spans="1:2" x14ac:dyDescent="0.3">
      <c r="A32">
        <f t="shared" si="0"/>
        <v>6.8250000000000073</v>
      </c>
      <c r="B32">
        <f t="shared" si="1"/>
        <v>0.93210249236182874</v>
      </c>
    </row>
    <row r="33" spans="1:2" x14ac:dyDescent="0.3">
      <c r="A33">
        <f t="shared" si="0"/>
        <v>6.8500000000000076</v>
      </c>
      <c r="B33">
        <f t="shared" si="1"/>
        <v>0.88249690258879776</v>
      </c>
    </row>
    <row r="34" spans="1:2" x14ac:dyDescent="0.3">
      <c r="A34">
        <f t="shared" si="0"/>
        <v>6.875000000000008</v>
      </c>
      <c r="B34">
        <f t="shared" si="1"/>
        <v>0.82257756240628399</v>
      </c>
    </row>
    <row r="35" spans="1:2" x14ac:dyDescent="0.3">
      <c r="A35">
        <f t="shared" si="0"/>
        <v>6.9000000000000083</v>
      </c>
      <c r="B35">
        <f t="shared" si="1"/>
        <v>0.75483960200272215</v>
      </c>
    </row>
    <row r="36" spans="1:2" x14ac:dyDescent="0.3">
      <c r="A36">
        <f t="shared" si="0"/>
        <v>6.9250000000000087</v>
      </c>
      <c r="B36">
        <f t="shared" si="1"/>
        <v>0.6819407512148562</v>
      </c>
    </row>
    <row r="37" spans="1:2" x14ac:dyDescent="0.3">
      <c r="A37">
        <f t="shared" si="0"/>
        <v>6.9500000000000091</v>
      </c>
      <c r="B37">
        <f t="shared" si="1"/>
        <v>0.6065306597561152</v>
      </c>
    </row>
    <row r="38" spans="1:2" x14ac:dyDescent="0.3">
      <c r="A38">
        <f t="shared" si="0"/>
        <v>6.9750000000000094</v>
      </c>
      <c r="B38">
        <f t="shared" si="1"/>
        <v>0.53109599111194383</v>
      </c>
    </row>
    <row r="39" spans="1:2" x14ac:dyDescent="0.3">
      <c r="A39">
        <f t="shared" si="0"/>
        <v>7.0000000000000098</v>
      </c>
      <c r="B39">
        <f t="shared" si="1"/>
        <v>0.45783336190560425</v>
      </c>
    </row>
    <row r="40" spans="1:2" x14ac:dyDescent="0.3">
      <c r="A40">
        <f t="shared" si="0"/>
        <v>7.0250000000000101</v>
      </c>
      <c r="B40">
        <f t="shared" si="1"/>
        <v>0.38855812774510851</v>
      </c>
    </row>
    <row r="41" spans="1:2" x14ac:dyDescent="0.3">
      <c r="A41">
        <f t="shared" si="0"/>
        <v>7.0500000000000105</v>
      </c>
      <c r="B41">
        <f t="shared" si="1"/>
        <v>0.32465246775981943</v>
      </c>
    </row>
    <row r="42" spans="1:2" x14ac:dyDescent="0.3">
      <c r="A42">
        <f t="shared" si="0"/>
        <v>7.0750000000000108</v>
      </c>
      <c r="B42">
        <f t="shared" si="1"/>
        <v>0.26705183591404547</v>
      </c>
    </row>
    <row r="43" spans="1:2" x14ac:dyDescent="0.3">
      <c r="A43">
        <f t="shared" si="0"/>
        <v>7.1000000000000112</v>
      </c>
      <c r="B43">
        <f t="shared" si="1"/>
        <v>0.21626516799972684</v>
      </c>
    </row>
    <row r="44" spans="1:2" x14ac:dyDescent="0.3">
      <c r="A44">
        <f t="shared" si="0"/>
        <v>7.1250000000000115</v>
      </c>
      <c r="B44">
        <f t="shared" si="1"/>
        <v>0.17242162586996265</v>
      </c>
    </row>
    <row r="45" spans="1:2" x14ac:dyDescent="0.3">
      <c r="A45">
        <f t="shared" si="0"/>
        <v>7.1500000000000119</v>
      </c>
      <c r="B45">
        <f t="shared" si="1"/>
        <v>0.13533528655190727</v>
      </c>
    </row>
    <row r="46" spans="1:2" x14ac:dyDescent="0.3">
      <c r="A46">
        <f t="shared" si="0"/>
        <v>7.1750000000000123</v>
      </c>
      <c r="B46">
        <f t="shared" si="1"/>
        <v>0.10457900681224638</v>
      </c>
    </row>
    <row r="47" spans="1:2" x14ac:dyDescent="0.3">
      <c r="A47">
        <f t="shared" si="0"/>
        <v>7.2000000000000126</v>
      </c>
      <c r="B47">
        <f t="shared" si="1"/>
        <v>7.9559517856204298E-2</v>
      </c>
    </row>
    <row r="48" spans="1:2" x14ac:dyDescent="0.3">
      <c r="A48">
        <f t="shared" si="0"/>
        <v>7.225000000000013</v>
      </c>
      <c r="B48">
        <f t="shared" si="1"/>
        <v>5.9587333775750123E-2</v>
      </c>
    </row>
    <row r="49" spans="1:2" x14ac:dyDescent="0.3">
      <c r="A49">
        <f t="shared" si="0"/>
        <v>7.2500000000000133</v>
      </c>
      <c r="B49">
        <f t="shared" si="1"/>
        <v>4.3936958120416369E-2</v>
      </c>
    </row>
    <row r="50" spans="1:2" x14ac:dyDescent="0.3">
      <c r="A50">
        <f t="shared" si="0"/>
        <v>7.2750000000000137</v>
      </c>
      <c r="B50">
        <f t="shared" si="1"/>
        <v>3.1894833055761219E-2</v>
      </c>
    </row>
    <row r="51" spans="1:2" x14ac:dyDescent="0.3">
      <c r="A51">
        <f t="shared" si="0"/>
        <v>7.300000000000014</v>
      </c>
      <c r="B51">
        <f t="shared" si="1"/>
        <v>2.279424475583644E-2</v>
      </c>
    </row>
    <row r="52" spans="1:2" x14ac:dyDescent="0.3">
      <c r="A52">
        <f t="shared" si="0"/>
        <v>7.3250000000000144</v>
      </c>
      <c r="B52">
        <f t="shared" si="1"/>
        <v>1.6037811342877711E-2</v>
      </c>
    </row>
    <row r="53" spans="1:2" x14ac:dyDescent="0.3">
      <c r="A53">
        <f t="shared" si="0"/>
        <v>7.3500000000000147</v>
      </c>
      <c r="B53">
        <f t="shared" si="1"/>
        <v>1.1109158512950062E-2</v>
      </c>
    </row>
    <row r="54" spans="1:2" x14ac:dyDescent="0.3">
      <c r="A54">
        <f t="shared" si="0"/>
        <v>7.3750000000000151</v>
      </c>
      <c r="B54">
        <f t="shared" si="1"/>
        <v>7.5759327090291944E-3</v>
      </c>
    </row>
    <row r="55" spans="1:2" x14ac:dyDescent="0.3">
      <c r="A55">
        <f t="shared" si="0"/>
        <v>7.4000000000000155</v>
      </c>
      <c r="B55">
        <f t="shared" si="1"/>
        <v>5.0864687326996226E-3</v>
      </c>
    </row>
    <row r="56" spans="1:2" x14ac:dyDescent="0.3">
      <c r="A56">
        <f t="shared" si="0"/>
        <v>7.4250000000000158</v>
      </c>
      <c r="B56">
        <f t="shared" si="1"/>
        <v>3.3623074004580297E-3</v>
      </c>
    </row>
    <row r="57" spans="1:2" x14ac:dyDescent="0.3">
      <c r="A57">
        <f t="shared" si="0"/>
        <v>7.4500000000000162</v>
      </c>
      <c r="B57">
        <f t="shared" si="1"/>
        <v>2.1884494729119703E-3</v>
      </c>
    </row>
    <row r="58" spans="1:2" x14ac:dyDescent="0.3">
      <c r="A58">
        <f t="shared" si="0"/>
        <v>7.4750000000000165</v>
      </c>
      <c r="B58">
        <f t="shared" si="1"/>
        <v>1.4028283662195031E-3</v>
      </c>
    </row>
    <row r="59" spans="1:2" x14ac:dyDescent="0.3">
      <c r="A59">
        <f t="shared" si="0"/>
        <v>7.5000000000000169</v>
      </c>
      <c r="B59">
        <f t="shared" si="1"/>
        <v>8.8606229883801907E-4</v>
      </c>
    </row>
    <row r="60" spans="1:2" x14ac:dyDescent="0.3">
      <c r="A60">
        <f t="shared" si="0"/>
        <v>7.5250000000000172</v>
      </c>
      <c r="B60">
        <f t="shared" si="1"/>
        <v>5.5216024583360976E-4</v>
      </c>
    </row>
    <row r="61" spans="1:2" x14ac:dyDescent="0.3">
      <c r="A61">
        <f t="shared" si="0"/>
        <v>7.5500000000000176</v>
      </c>
      <c r="B61">
        <f t="shared" si="1"/>
        <v>3.4053662748361651E-4</v>
      </c>
    </row>
    <row r="62" spans="1:2" x14ac:dyDescent="0.3">
      <c r="A62">
        <f t="shared" si="0"/>
        <v>7.5750000000000179</v>
      </c>
      <c r="B62">
        <f t="shared" si="1"/>
        <v>2.0944922870707279E-4</v>
      </c>
    </row>
    <row r="63" spans="1:2" x14ac:dyDescent="0.3">
      <c r="A63">
        <f t="shared" si="0"/>
        <v>7.6000000000000183</v>
      </c>
      <c r="B63">
        <f t="shared" si="1"/>
        <v>1.3081156504909358E-4</v>
      </c>
    </row>
    <row r="64" spans="1:2" x14ac:dyDescent="0.3">
      <c r="A64">
        <f t="shared" si="0"/>
        <v>7.6250000000000187</v>
      </c>
      <c r="B64">
        <f t="shared" si="1"/>
        <v>8.6234178684368627E-5</v>
      </c>
    </row>
    <row r="65" spans="1:2" x14ac:dyDescent="0.3">
      <c r="A65">
        <f t="shared" si="0"/>
        <v>7.650000000000019</v>
      </c>
      <c r="B65">
        <f t="shared" si="1"/>
        <v>6.4104475828711456E-5</v>
      </c>
    </row>
    <row r="66" spans="1:2" x14ac:dyDescent="0.3">
      <c r="A66">
        <f t="shared" si="0"/>
        <v>7.6750000000000194</v>
      </c>
      <c r="B66">
        <f t="shared" si="1"/>
        <v>5.7506427007682876E-5</v>
      </c>
    </row>
    <row r="67" spans="1:2" x14ac:dyDescent="0.3">
      <c r="A67">
        <f t="shared" si="0"/>
        <v>7.7000000000000197</v>
      </c>
      <c r="B67">
        <f t="shared" si="1"/>
        <v>6.2796113514893503E-5</v>
      </c>
    </row>
    <row r="68" spans="1:2" x14ac:dyDescent="0.3">
      <c r="A68">
        <f t="shared" si="0"/>
        <v>7.7250000000000201</v>
      </c>
      <c r="B68">
        <f t="shared" si="1"/>
        <v>7.8675853786910421E-5</v>
      </c>
    </row>
    <row r="69" spans="1:2" x14ac:dyDescent="0.3">
      <c r="A69">
        <f t="shared" si="0"/>
        <v>7.7500000000000204</v>
      </c>
      <c r="B69">
        <f t="shared" si="1"/>
        <v>1.0564065910895197E-4</v>
      </c>
    </row>
    <row r="70" spans="1:2" x14ac:dyDescent="0.3">
      <c r="A70">
        <f t="shared" si="0"/>
        <v>7.7750000000000208</v>
      </c>
      <c r="B70">
        <f t="shared" si="1"/>
        <v>1.4570099505542393E-4</v>
      </c>
    </row>
    <row r="71" spans="1:2" x14ac:dyDescent="0.3">
      <c r="A71">
        <f t="shared" si="0"/>
        <v>7.8000000000000211</v>
      </c>
      <c r="B71">
        <f t="shared" si="1"/>
        <v>2.0231243095267257E-4</v>
      </c>
    </row>
    <row r="72" spans="1:2" x14ac:dyDescent="0.3">
      <c r="A72">
        <f t="shared" si="0"/>
        <v>7.8250000000000215</v>
      </c>
      <c r="B72">
        <f t="shared" si="1"/>
        <v>2.8046450939900607E-4</v>
      </c>
    </row>
    <row r="73" spans="1:2" x14ac:dyDescent="0.3">
      <c r="A73">
        <f t="shared" si="0"/>
        <v>7.8500000000000218</v>
      </c>
      <c r="B73">
        <f t="shared" si="1"/>
        <v>3.8689785019160888E-4</v>
      </c>
    </row>
    <row r="74" spans="1:2" x14ac:dyDescent="0.3">
      <c r="A74">
        <f t="shared" si="0"/>
        <v>7.8750000000000222</v>
      </c>
      <c r="B74">
        <f t="shared" si="1"/>
        <v>5.3043047113005774E-4</v>
      </c>
    </row>
    <row r="75" spans="1:2" x14ac:dyDescent="0.3">
      <c r="A75">
        <f t="shared" si="0"/>
        <v>7.9000000000000226</v>
      </c>
      <c r="B75">
        <f t="shared" si="1"/>
        <v>7.2238215291349766E-4</v>
      </c>
    </row>
    <row r="76" spans="1:2" x14ac:dyDescent="0.3">
      <c r="A76">
        <f t="shared" si="0"/>
        <v>7.9250000000000229</v>
      </c>
      <c r="B76">
        <f t="shared" ref="B76:B139" si="2">$C$2*EXP(-((A76-$A$2)^2/(2*$B$2^2)))+$C$3*EXP(-((A76-$A$3)^2/(2*$B$3^2)))+$C$4*EXP(-((A76-$A$4)^2/(2*$B$4^2)))+$C$5*EXP(-((A76-$A$5)^2/(2*$B$5^2)))+$C$6*EXP(-((A76-$A$6)^2/(2*$B$6^2)))+$C$7*EXP(-((A76-$A$7)^2/(2*$B$7^2)))</f>
        <v>9.7709001990416394E-4</v>
      </c>
    </row>
    <row r="77" spans="1:2" x14ac:dyDescent="0.3">
      <c r="A77">
        <f t="shared" ref="A77:A140" si="3">A76+0.025</f>
        <v>7.9500000000000233</v>
      </c>
      <c r="B77">
        <f t="shared" si="2"/>
        <v>1.3125099008898312E-3</v>
      </c>
    </row>
    <row r="78" spans="1:2" x14ac:dyDescent="0.3">
      <c r="A78">
        <f t="shared" si="3"/>
        <v>7.9750000000000236</v>
      </c>
      <c r="B78">
        <f t="shared" si="2"/>
        <v>1.7508969097888793E-3</v>
      </c>
    </row>
    <row r="79" spans="1:2" x14ac:dyDescent="0.3">
      <c r="A79">
        <f t="shared" si="3"/>
        <v>8.0000000000000231</v>
      </c>
      <c r="B79">
        <f t="shared" si="2"/>
        <v>2.3195553773983882E-3</v>
      </c>
    </row>
    <row r="80" spans="1:2" x14ac:dyDescent="0.3">
      <c r="A80">
        <f t="shared" si="3"/>
        <v>8.0250000000000234</v>
      </c>
      <c r="B80">
        <f t="shared" si="2"/>
        <v>3.0516430348454661E-3</v>
      </c>
    </row>
    <row r="81" spans="1:2" x14ac:dyDescent="0.3">
      <c r="A81">
        <f t="shared" si="3"/>
        <v>8.0500000000000238</v>
      </c>
      <c r="B81">
        <f t="shared" si="2"/>
        <v>3.9870074388044501E-3</v>
      </c>
    </row>
    <row r="82" spans="1:2" x14ac:dyDescent="0.3">
      <c r="A82">
        <f t="shared" si="3"/>
        <v>8.0750000000000242</v>
      </c>
      <c r="B82">
        <f t="shared" si="2"/>
        <v>5.1730243076075436E-3</v>
      </c>
    </row>
    <row r="83" spans="1:2" x14ac:dyDescent="0.3">
      <c r="A83">
        <f t="shared" si="3"/>
        <v>8.1000000000000245</v>
      </c>
      <c r="B83">
        <f t="shared" si="2"/>
        <v>6.6653980506581724E-3</v>
      </c>
    </row>
    <row r="84" spans="1:2" x14ac:dyDescent="0.3">
      <c r="A84">
        <f t="shared" si="3"/>
        <v>8.1250000000000249</v>
      </c>
      <c r="B84">
        <f t="shared" si="2"/>
        <v>8.5288747785446824E-3</v>
      </c>
    </row>
    <row r="85" spans="1:2" x14ac:dyDescent="0.3">
      <c r="A85">
        <f t="shared" si="3"/>
        <v>8.1500000000000252</v>
      </c>
      <c r="B85">
        <f t="shared" si="2"/>
        <v>1.0837808074768703E-2</v>
      </c>
    </row>
    <row r="86" spans="1:2" x14ac:dyDescent="0.3">
      <c r="A86">
        <f t="shared" si="3"/>
        <v>8.1750000000000256</v>
      </c>
      <c r="B86">
        <f t="shared" si="2"/>
        <v>1.3676508539641362E-2</v>
      </c>
    </row>
    <row r="87" spans="1:2" x14ac:dyDescent="0.3">
      <c r="A87">
        <f t="shared" si="3"/>
        <v>8.2000000000000259</v>
      </c>
      <c r="B87">
        <f t="shared" si="2"/>
        <v>1.7139300474590721E-2</v>
      </c>
    </row>
    <row r="88" spans="1:2" x14ac:dyDescent="0.3">
      <c r="A88">
        <f t="shared" si="3"/>
        <v>8.2250000000000263</v>
      </c>
      <c r="B88">
        <f t="shared" si="2"/>
        <v>2.1330204070419547E-2</v>
      </c>
    </row>
    <row r="89" spans="1:2" x14ac:dyDescent="0.3">
      <c r="A89">
        <f t="shared" si="3"/>
        <v>8.2500000000000266</v>
      </c>
      <c r="B89">
        <f t="shared" si="2"/>
        <v>2.6362160174660497E-2</v>
      </c>
    </row>
    <row r="90" spans="1:2" x14ac:dyDescent="0.3">
      <c r="A90">
        <f t="shared" si="3"/>
        <v>8.275000000000027</v>
      </c>
      <c r="B90">
        <f t="shared" si="2"/>
        <v>3.2355718218617845E-2</v>
      </c>
    </row>
    <row r="91" spans="1:2" x14ac:dyDescent="0.3">
      <c r="A91">
        <f t="shared" si="3"/>
        <v>8.3000000000000274</v>
      </c>
      <c r="B91">
        <f t="shared" si="2"/>
        <v>3.9437117170017376E-2</v>
      </c>
    </row>
    <row r="92" spans="1:2" x14ac:dyDescent="0.3">
      <c r="A92">
        <f t="shared" si="3"/>
        <v>8.3250000000000277</v>
      </c>
      <c r="B92">
        <f t="shared" si="2"/>
        <v>4.7735705230980689E-2</v>
      </c>
    </row>
    <row r="93" spans="1:2" x14ac:dyDescent="0.3">
      <c r="A93">
        <f t="shared" si="3"/>
        <v>8.3500000000000281</v>
      </c>
      <c r="B93">
        <f t="shared" si="2"/>
        <v>5.7380666899547447E-2</v>
      </c>
    </row>
    <row r="94" spans="1:2" x14ac:dyDescent="0.3">
      <c r="A94">
        <f t="shared" si="3"/>
        <v>8.3750000000000284</v>
      </c>
      <c r="B94">
        <f t="shared" si="2"/>
        <v>6.8497056005830309E-2</v>
      </c>
    </row>
    <row r="95" spans="1:2" x14ac:dyDescent="0.3">
      <c r="A95">
        <f t="shared" si="3"/>
        <v>8.4000000000000288</v>
      </c>
      <c r="B95">
        <f t="shared" si="2"/>
        <v>8.1201169941984883E-2</v>
      </c>
    </row>
    <row r="96" spans="1:2" x14ac:dyDescent="0.3">
      <c r="A96">
        <f t="shared" si="3"/>
        <v>8.4250000000000291</v>
      </c>
      <c r="B96">
        <f t="shared" si="2"/>
        <v>9.5595342443547657E-2</v>
      </c>
    </row>
    <row r="97" spans="1:2" x14ac:dyDescent="0.3">
      <c r="A97">
        <f t="shared" si="3"/>
        <v>8.4500000000000295</v>
      </c>
      <c r="B97">
        <f t="shared" si="2"/>
        <v>0.111762278218641</v>
      </c>
    </row>
    <row r="98" spans="1:2" x14ac:dyDescent="0.3">
      <c r="A98">
        <f t="shared" si="3"/>
        <v>8.4750000000000298</v>
      </c>
      <c r="B98">
        <f t="shared" si="2"/>
        <v>0.1297591000979553</v>
      </c>
    </row>
    <row r="99" spans="1:2" x14ac:dyDescent="0.3">
      <c r="A99">
        <f t="shared" si="3"/>
        <v>8.5000000000000302</v>
      </c>
      <c r="B99">
        <f t="shared" si="2"/>
        <v>0.14961132526640333</v>
      </c>
    </row>
    <row r="100" spans="1:2" x14ac:dyDescent="0.3">
      <c r="A100">
        <f t="shared" si="3"/>
        <v>8.5250000000000306</v>
      </c>
      <c r="B100">
        <f t="shared" si="2"/>
        <v>0.17130702818302007</v>
      </c>
    </row>
    <row r="101" spans="1:2" x14ac:dyDescent="0.3">
      <c r="A101">
        <f t="shared" si="3"/>
        <v>8.5500000000000309</v>
      </c>
      <c r="B101">
        <f t="shared" si="2"/>
        <v>0.19479148041504191</v>
      </c>
    </row>
    <row r="102" spans="1:2" x14ac:dyDescent="0.3">
      <c r="A102">
        <f t="shared" si="3"/>
        <v>8.5750000000000313</v>
      </c>
      <c r="B102">
        <f t="shared" si="2"/>
        <v>0.21996257824424065</v>
      </c>
    </row>
    <row r="103" spans="1:2" x14ac:dyDescent="0.3">
      <c r="A103">
        <f t="shared" si="3"/>
        <v>8.6000000000000316</v>
      </c>
      <c r="B103">
        <f t="shared" si="2"/>
        <v>0.24666737430435468</v>
      </c>
    </row>
    <row r="104" spans="1:2" x14ac:dyDescent="0.3">
      <c r="A104">
        <f t="shared" si="3"/>
        <v>8.625000000000032</v>
      </c>
      <c r="B104">
        <f t="shared" si="2"/>
        <v>0.27470001706301994</v>
      </c>
    </row>
    <row r="105" spans="1:2" x14ac:dyDescent="0.3">
      <c r="A105">
        <f t="shared" si="3"/>
        <v>8.6500000000000323</v>
      </c>
      <c r="B105">
        <f t="shared" si="2"/>
        <v>0.30380136998892698</v>
      </c>
    </row>
    <row r="106" spans="1:2" x14ac:dyDescent="0.3">
      <c r="A106">
        <f t="shared" si="3"/>
        <v>8.6750000000000327</v>
      </c>
      <c r="B106">
        <f t="shared" si="2"/>
        <v>0.33366053026401893</v>
      </c>
    </row>
    <row r="107" spans="1:2" x14ac:dyDescent="0.3">
      <c r="A107">
        <f t="shared" si="3"/>
        <v>8.700000000000033</v>
      </c>
      <c r="B107">
        <f t="shared" si="2"/>
        <v>0.36391839582772356</v>
      </c>
    </row>
    <row r="108" spans="1:2" x14ac:dyDescent="0.3">
      <c r="A108">
        <f t="shared" si="3"/>
        <v>8.7250000000000334</v>
      </c>
      <c r="B108">
        <f t="shared" si="2"/>
        <v>0.39417334178979652</v>
      </c>
    </row>
    <row r="109" spans="1:2" x14ac:dyDescent="0.3">
      <c r="A109">
        <f t="shared" si="3"/>
        <v>8.7500000000000338</v>
      </c>
      <c r="B109">
        <f t="shared" si="2"/>
        <v>0.42398896671503561</v>
      </c>
    </row>
    <row r="110" spans="1:2" x14ac:dyDescent="0.3">
      <c r="A110">
        <f t="shared" si="3"/>
        <v>8.7750000000000341</v>
      </c>
      <c r="B110">
        <f t="shared" si="2"/>
        <v>0.45290376119412462</v>
      </c>
    </row>
    <row r="111" spans="1:2" x14ac:dyDescent="0.3">
      <c r="A111">
        <f t="shared" si="3"/>
        <v>8.8000000000000345</v>
      </c>
      <c r="B111">
        <f t="shared" si="2"/>
        <v>0.48044244175138184</v>
      </c>
    </row>
    <row r="112" spans="1:2" x14ac:dyDescent="0.3">
      <c r="A112">
        <f t="shared" si="3"/>
        <v>8.8250000000000348</v>
      </c>
      <c r="B112">
        <f t="shared" si="2"/>
        <v>0.5061285894408889</v>
      </c>
    </row>
    <row r="113" spans="1:2" x14ac:dyDescent="0.3">
      <c r="A113">
        <f t="shared" si="3"/>
        <v>8.8500000000000352</v>
      </c>
      <c r="B113">
        <f t="shared" si="2"/>
        <v>0.52949814155500741</v>
      </c>
    </row>
    <row r="114" spans="1:2" x14ac:dyDescent="0.3">
      <c r="A114">
        <f t="shared" si="3"/>
        <v>8.8750000000000355</v>
      </c>
      <c r="B114">
        <f t="shared" si="2"/>
        <v>0.55011321344688435</v>
      </c>
    </row>
    <row r="115" spans="1:2" x14ac:dyDescent="0.3">
      <c r="A115">
        <f t="shared" si="3"/>
        <v>8.9000000000000359</v>
      </c>
      <c r="B115">
        <f t="shared" si="2"/>
        <v>0.56757568135782033</v>
      </c>
    </row>
    <row r="116" spans="1:2" x14ac:dyDescent="0.3">
      <c r="A116">
        <f t="shared" si="3"/>
        <v>8.9250000000000362</v>
      </c>
      <c r="B116">
        <f t="shared" si="2"/>
        <v>0.58153994071035786</v>
      </c>
    </row>
    <row r="117" spans="1:2" x14ac:dyDescent="0.3">
      <c r="A117">
        <f t="shared" si="3"/>
        <v>8.9500000000000366</v>
      </c>
      <c r="B117">
        <f t="shared" si="2"/>
        <v>0.59172427008987094</v>
      </c>
    </row>
    <row r="118" spans="1:2" x14ac:dyDescent="0.3">
      <c r="A118">
        <f t="shared" si="3"/>
        <v>8.9750000000000369</v>
      </c>
      <c r="B118">
        <f t="shared" si="2"/>
        <v>0.59792027945885429</v>
      </c>
    </row>
    <row r="119" spans="1:2" x14ac:dyDescent="0.3">
      <c r="A119">
        <f t="shared" si="3"/>
        <v>9.0000000000000373</v>
      </c>
      <c r="B119">
        <f t="shared" si="2"/>
        <v>0.60000000013401789</v>
      </c>
    </row>
    <row r="120" spans="1:2" x14ac:dyDescent="0.3">
      <c r="A120">
        <f t="shared" si="3"/>
        <v>9.0250000000000377</v>
      </c>
      <c r="B120">
        <f t="shared" si="2"/>
        <v>0.59792027961498651</v>
      </c>
    </row>
    <row r="121" spans="1:2" x14ac:dyDescent="0.3">
      <c r="A121">
        <f t="shared" si="3"/>
        <v>9.050000000000038</v>
      </c>
      <c r="B121">
        <f t="shared" si="2"/>
        <v>0.59172427044783238</v>
      </c>
    </row>
    <row r="122" spans="1:2" x14ac:dyDescent="0.3">
      <c r="A122">
        <f t="shared" si="3"/>
        <v>9.0750000000000384</v>
      </c>
      <c r="B122">
        <f t="shared" si="2"/>
        <v>0.5815399413735135</v>
      </c>
    </row>
    <row r="123" spans="1:2" x14ac:dyDescent="0.3">
      <c r="A123">
        <f t="shared" si="3"/>
        <v>9.1000000000000387</v>
      </c>
      <c r="B123">
        <f t="shared" si="2"/>
        <v>0.56757568251389545</v>
      </c>
    </row>
    <row r="124" spans="1:2" x14ac:dyDescent="0.3">
      <c r="A124">
        <f t="shared" si="3"/>
        <v>9.1250000000000391</v>
      </c>
      <c r="B124">
        <f t="shared" si="2"/>
        <v>0.55011321541541602</v>
      </c>
    </row>
    <row r="125" spans="1:2" x14ac:dyDescent="0.3">
      <c r="A125">
        <f t="shared" si="3"/>
        <v>9.1500000000000394</v>
      </c>
      <c r="B125">
        <f t="shared" si="2"/>
        <v>0.52949814486603297</v>
      </c>
    </row>
    <row r="126" spans="1:2" x14ac:dyDescent="0.3">
      <c r="A126">
        <f t="shared" si="3"/>
        <v>9.1750000000000398</v>
      </c>
      <c r="B126">
        <f t="shared" si="2"/>
        <v>0.50612859496175999</v>
      </c>
    </row>
    <row r="127" spans="1:2" x14ac:dyDescent="0.3">
      <c r="A127">
        <f t="shared" si="3"/>
        <v>9.2000000000000401</v>
      </c>
      <c r="B127">
        <f t="shared" si="2"/>
        <v>0.48044245088802978</v>
      </c>
    </row>
    <row r="128" spans="1:2" x14ac:dyDescent="0.3">
      <c r="A128">
        <f t="shared" si="3"/>
        <v>9.2250000000000405</v>
      </c>
      <c r="B128">
        <f t="shared" si="2"/>
        <v>0.45290377620713168</v>
      </c>
    </row>
    <row r="129" spans="1:2" x14ac:dyDescent="0.3">
      <c r="A129">
        <f t="shared" si="3"/>
        <v>9.2500000000000409</v>
      </c>
      <c r="B129">
        <f t="shared" si="2"/>
        <v>0.42398899121159789</v>
      </c>
    </row>
    <row r="130" spans="1:2" x14ac:dyDescent="0.3">
      <c r="A130">
        <f t="shared" si="3"/>
        <v>9.2750000000000412</v>
      </c>
      <c r="B130">
        <f t="shared" si="2"/>
        <v>0.39417338148312131</v>
      </c>
    </row>
    <row r="131" spans="1:2" x14ac:dyDescent="0.3">
      <c r="A131">
        <f t="shared" si="3"/>
        <v>9.3000000000000416</v>
      </c>
      <c r="B131">
        <f t="shared" si="2"/>
        <v>0.36391845969975806</v>
      </c>
    </row>
    <row r="132" spans="1:2" x14ac:dyDescent="0.3">
      <c r="A132">
        <f t="shared" si="3"/>
        <v>9.3250000000000419</v>
      </c>
      <c r="B132">
        <f t="shared" si="2"/>
        <v>0.33366063233140519</v>
      </c>
    </row>
    <row r="133" spans="1:2" x14ac:dyDescent="0.3">
      <c r="A133">
        <f t="shared" si="3"/>
        <v>9.3500000000000423</v>
      </c>
      <c r="B133">
        <f t="shared" si="2"/>
        <v>0.30380153196352055</v>
      </c>
    </row>
    <row r="134" spans="1:2" x14ac:dyDescent="0.3">
      <c r="A134">
        <f t="shared" si="3"/>
        <v>9.3750000000000426</v>
      </c>
      <c r="B134">
        <f t="shared" si="2"/>
        <v>0.27470027232769079</v>
      </c>
    </row>
    <row r="135" spans="1:2" x14ac:dyDescent="0.3">
      <c r="A135">
        <f t="shared" si="3"/>
        <v>9.400000000000043</v>
      </c>
      <c r="B135">
        <f t="shared" si="2"/>
        <v>0.24666777380595351</v>
      </c>
    </row>
    <row r="136" spans="1:2" x14ac:dyDescent="0.3">
      <c r="A136">
        <f t="shared" si="3"/>
        <v>9.4250000000000433</v>
      </c>
      <c r="B136">
        <f t="shared" si="2"/>
        <v>0.21996319915668597</v>
      </c>
    </row>
    <row r="137" spans="1:2" x14ac:dyDescent="0.3">
      <c r="A137">
        <f t="shared" si="3"/>
        <v>9.4500000000000437</v>
      </c>
      <c r="B137">
        <f t="shared" si="2"/>
        <v>0.19479243876969699</v>
      </c>
    </row>
    <row r="138" spans="1:2" x14ac:dyDescent="0.3">
      <c r="A138">
        <f t="shared" si="3"/>
        <v>9.4750000000000441</v>
      </c>
      <c r="B138">
        <f t="shared" si="2"/>
        <v>0.17130849713028615</v>
      </c>
    </row>
    <row r="139" spans="1:2" x14ac:dyDescent="0.3">
      <c r="A139">
        <f t="shared" si="3"/>
        <v>9.5000000000000444</v>
      </c>
      <c r="B139">
        <f t="shared" si="2"/>
        <v>0.14961356125824402</v>
      </c>
    </row>
    <row r="140" spans="1:2" x14ac:dyDescent="0.3">
      <c r="A140">
        <f t="shared" si="3"/>
        <v>9.5250000000000448</v>
      </c>
      <c r="B140">
        <f t="shared" ref="B140:B203" si="4">$C$2*EXP(-((A140-$A$2)^2/(2*$B$2^2)))+$C$3*EXP(-((A140-$A$3)^2/(2*$B$3^2)))+$C$4*EXP(-((A140-$A$4)^2/(2*$B$4^2)))+$C$5*EXP(-((A140-$A$5)^2/(2*$B$5^2)))+$C$6*EXP(-((A140-$A$6)^2/(2*$B$6^2)))+$C$7*EXP(-((A140-$A$7)^2/(2*$B$7^2)))</f>
        <v>0.1297624801103002</v>
      </c>
    </row>
    <row r="141" spans="1:2" x14ac:dyDescent="0.3">
      <c r="A141">
        <f t="shared" ref="A141:A204" si="5">A140+0.025</f>
        <v>9.5500000000000451</v>
      </c>
      <c r="B141">
        <f t="shared" si="4"/>
        <v>0.11176735221817093</v>
      </c>
    </row>
    <row r="142" spans="1:2" x14ac:dyDescent="0.3">
      <c r="A142">
        <f t="shared" si="5"/>
        <v>9.5750000000000455</v>
      </c>
      <c r="B142">
        <f t="shared" si="4"/>
        <v>9.5602906706607649E-2</v>
      </c>
    </row>
    <row r="143" spans="1:2" x14ac:dyDescent="0.3">
      <c r="A143">
        <f t="shared" si="5"/>
        <v>9.6000000000000458</v>
      </c>
      <c r="B143">
        <f t="shared" si="4"/>
        <v>8.1212368623410927E-2</v>
      </c>
    </row>
    <row r="144" spans="1:2" x14ac:dyDescent="0.3">
      <c r="A144">
        <f t="shared" si="5"/>
        <v>9.6250000000000462</v>
      </c>
      <c r="B144">
        <f t="shared" si="4"/>
        <v>6.8513520607278583E-2</v>
      </c>
    </row>
    <row r="145" spans="1:2" x14ac:dyDescent="0.3">
      <c r="A145">
        <f t="shared" si="5"/>
        <v>9.6500000000000465</v>
      </c>
      <c r="B145">
        <f t="shared" si="4"/>
        <v>5.7404706077939661E-2</v>
      </c>
    </row>
    <row r="146" spans="1:2" x14ac:dyDescent="0.3">
      <c r="A146">
        <f t="shared" si="5"/>
        <v>9.6750000000000469</v>
      </c>
      <c r="B146">
        <f t="shared" si="4"/>
        <v>4.7770560792544291E-2</v>
      </c>
    </row>
    <row r="147" spans="1:2" x14ac:dyDescent="0.3">
      <c r="A147">
        <f t="shared" si="5"/>
        <v>9.7000000000000473</v>
      </c>
      <c r="B147">
        <f t="shared" si="4"/>
        <v>3.9487306178241657E-2</v>
      </c>
    </row>
    <row r="148" spans="1:2" x14ac:dyDescent="0.3">
      <c r="A148">
        <f t="shared" si="5"/>
        <v>9.7250000000000476</v>
      </c>
      <c r="B148">
        <f t="shared" si="4"/>
        <v>3.2427485948509957E-2</v>
      </c>
    </row>
    <row r="149" spans="1:2" x14ac:dyDescent="0.3">
      <c r="A149">
        <f t="shared" si="5"/>
        <v>9.750000000000048</v>
      </c>
      <c r="B149">
        <f t="shared" si="4"/>
        <v>2.6464074179970831E-2</v>
      </c>
    </row>
    <row r="150" spans="1:2" x14ac:dyDescent="0.3">
      <c r="A150">
        <f t="shared" si="5"/>
        <v>9.7750000000000483</v>
      </c>
      <c r="B150">
        <f t="shared" si="4"/>
        <v>2.1473925853355589E-2</v>
      </c>
    </row>
    <row r="151" spans="1:2" x14ac:dyDescent="0.3">
      <c r="A151">
        <f t="shared" si="5"/>
        <v>9.8000000000000487</v>
      </c>
      <c r="B151">
        <f t="shared" si="4"/>
        <v>1.7340578047464441E-2</v>
      </c>
    </row>
    <row r="152" spans="1:2" x14ac:dyDescent="0.3">
      <c r="A152">
        <f t="shared" si="5"/>
        <v>9.825000000000049</v>
      </c>
      <c r="B152">
        <f t="shared" si="4"/>
        <v>1.3956440342264866E-2</v>
      </c>
    </row>
    <row r="153" spans="1:2" x14ac:dyDescent="0.3">
      <c r="A153">
        <f t="shared" si="5"/>
        <v>9.8500000000000494</v>
      </c>
      <c r="B153">
        <f t="shared" si="4"/>
        <v>1.122443594420512E-2</v>
      </c>
    </row>
    <row r="154" spans="1:2" x14ac:dyDescent="0.3">
      <c r="A154">
        <f t="shared" si="5"/>
        <v>9.8750000000000497</v>
      </c>
      <c r="B154">
        <f t="shared" si="4"/>
        <v>9.0591705081994219E-3</v>
      </c>
    </row>
    <row r="155" spans="1:2" x14ac:dyDescent="0.3">
      <c r="A155">
        <f t="shared" si="5"/>
        <v>9.9000000000000501</v>
      </c>
      <c r="B155">
        <f t="shared" si="4"/>
        <v>7.3877139198394084E-3</v>
      </c>
    </row>
    <row r="156" spans="1:2" x14ac:dyDescent="0.3">
      <c r="A156">
        <f t="shared" si="5"/>
        <v>9.9250000000000504</v>
      </c>
      <c r="B156">
        <f t="shared" si="4"/>
        <v>6.1500820419223461E-3</v>
      </c>
    </row>
    <row r="157" spans="1:2" x14ac:dyDescent="0.3">
      <c r="A157">
        <f t="shared" si="5"/>
        <v>9.9500000000000508</v>
      </c>
      <c r="B157">
        <f t="shared" si="4"/>
        <v>5.2995014405532101E-3</v>
      </c>
    </row>
    <row r="158" spans="1:2" x14ac:dyDescent="0.3">
      <c r="A158">
        <f t="shared" si="5"/>
        <v>9.9750000000000512</v>
      </c>
      <c r="B158">
        <f t="shared" si="4"/>
        <v>4.802531310247514E-3</v>
      </c>
    </row>
    <row r="159" spans="1:2" x14ac:dyDescent="0.3">
      <c r="A159">
        <f t="shared" si="5"/>
        <v>10.000000000000052</v>
      </c>
      <c r="B159">
        <f t="shared" si="4"/>
        <v>4.6391041673673663E-3</v>
      </c>
    </row>
    <row r="160" spans="1:2" x14ac:dyDescent="0.3">
      <c r="A160">
        <f t="shared" si="5"/>
        <v>10.025000000000052</v>
      </c>
      <c r="B160">
        <f t="shared" si="4"/>
        <v>4.8025313102488662E-3</v>
      </c>
    </row>
    <row r="161" spans="1:2" x14ac:dyDescent="0.3">
      <c r="A161">
        <f t="shared" si="5"/>
        <v>10.050000000000052</v>
      </c>
      <c r="B161">
        <f t="shared" si="4"/>
        <v>5.2995014405559683E-3</v>
      </c>
    </row>
    <row r="162" spans="1:2" x14ac:dyDescent="0.3">
      <c r="A162">
        <f t="shared" si="5"/>
        <v>10.075000000000053</v>
      </c>
      <c r="B162">
        <f t="shared" si="4"/>
        <v>6.1500820419266196E-3</v>
      </c>
    </row>
    <row r="163" spans="1:2" x14ac:dyDescent="0.3">
      <c r="A163">
        <f t="shared" si="5"/>
        <v>10.100000000000053</v>
      </c>
      <c r="B163">
        <f t="shared" si="4"/>
        <v>7.3877139198453654E-3</v>
      </c>
    </row>
    <row r="164" spans="1:2" x14ac:dyDescent="0.3">
      <c r="A164">
        <f t="shared" si="5"/>
        <v>10.125000000000053</v>
      </c>
      <c r="B164">
        <f t="shared" si="4"/>
        <v>9.0591705082072836E-3</v>
      </c>
    </row>
    <row r="165" spans="1:2" x14ac:dyDescent="0.3">
      <c r="A165">
        <f t="shared" si="5"/>
        <v>10.150000000000054</v>
      </c>
      <c r="B165">
        <f t="shared" si="4"/>
        <v>1.1224435944215161E-2</v>
      </c>
    </row>
    <row r="166" spans="1:2" x14ac:dyDescent="0.3">
      <c r="A166">
        <f t="shared" si="5"/>
        <v>10.175000000000054</v>
      </c>
      <c r="B166">
        <f t="shared" si="4"/>
        <v>1.3956440342277408E-2</v>
      </c>
    </row>
    <row r="167" spans="1:2" x14ac:dyDescent="0.3">
      <c r="A167">
        <f t="shared" si="5"/>
        <v>10.200000000000054</v>
      </c>
      <c r="B167">
        <f t="shared" si="4"/>
        <v>1.7340578047479863E-2</v>
      </c>
    </row>
    <row r="168" spans="1:2" x14ac:dyDescent="0.3">
      <c r="A168">
        <f t="shared" si="5"/>
        <v>10.225000000000055</v>
      </c>
      <c r="B168">
        <f t="shared" si="4"/>
        <v>2.1473925853374324E-2</v>
      </c>
    </row>
    <row r="169" spans="1:2" x14ac:dyDescent="0.3">
      <c r="A169">
        <f t="shared" si="5"/>
        <v>10.250000000000055</v>
      </c>
      <c r="B169">
        <f t="shared" si="4"/>
        <v>2.6464074179993313E-2</v>
      </c>
    </row>
    <row r="170" spans="1:2" x14ac:dyDescent="0.3">
      <c r="A170">
        <f t="shared" si="5"/>
        <v>10.275000000000055</v>
      </c>
      <c r="B170">
        <f t="shared" si="4"/>
        <v>3.2427485948536706E-2</v>
      </c>
    </row>
    <row r="171" spans="1:2" x14ac:dyDescent="0.3">
      <c r="A171">
        <f t="shared" si="5"/>
        <v>10.300000000000056</v>
      </c>
      <c r="B171">
        <f t="shared" si="4"/>
        <v>3.9487306178273188E-2</v>
      </c>
    </row>
    <row r="172" spans="1:2" x14ac:dyDescent="0.3">
      <c r="A172">
        <f t="shared" si="5"/>
        <v>10.325000000000056</v>
      </c>
      <c r="B172">
        <f t="shared" si="4"/>
        <v>4.7770560792581129E-2</v>
      </c>
    </row>
    <row r="173" spans="1:2" x14ac:dyDescent="0.3">
      <c r="A173">
        <f t="shared" si="5"/>
        <v>10.350000000000056</v>
      </c>
      <c r="B173">
        <f t="shared" si="4"/>
        <v>5.7404706077982322E-2</v>
      </c>
    </row>
    <row r="174" spans="1:2" x14ac:dyDescent="0.3">
      <c r="A174">
        <f t="shared" si="5"/>
        <v>10.375000000000057</v>
      </c>
      <c r="B174">
        <f t="shared" si="4"/>
        <v>6.8513520607327585E-2</v>
      </c>
    </row>
    <row r="175" spans="1:2" x14ac:dyDescent="0.3">
      <c r="A175">
        <f t="shared" si="5"/>
        <v>10.400000000000057</v>
      </c>
      <c r="B175">
        <f t="shared" si="4"/>
        <v>8.1212368623466688E-2</v>
      </c>
    </row>
    <row r="176" spans="1:2" x14ac:dyDescent="0.3">
      <c r="A176">
        <f t="shared" si="5"/>
        <v>10.425000000000058</v>
      </c>
      <c r="B176">
        <f t="shared" si="4"/>
        <v>9.5602906706670557E-2</v>
      </c>
    </row>
    <row r="177" spans="1:2" x14ac:dyDescent="0.3">
      <c r="A177">
        <f t="shared" si="5"/>
        <v>10.450000000000058</v>
      </c>
      <c r="B177">
        <f t="shared" si="4"/>
        <v>0.11176735221824129</v>
      </c>
    </row>
    <row r="178" spans="1:2" x14ac:dyDescent="0.3">
      <c r="A178">
        <f t="shared" si="5"/>
        <v>10.475000000000058</v>
      </c>
      <c r="B178">
        <f t="shared" si="4"/>
        <v>0.12976248011037819</v>
      </c>
    </row>
    <row r="179" spans="1:2" x14ac:dyDescent="0.3">
      <c r="A179">
        <f t="shared" si="5"/>
        <v>10.500000000000059</v>
      </c>
      <c r="B179">
        <f t="shared" si="4"/>
        <v>0.14961356125832967</v>
      </c>
    </row>
    <row r="180" spans="1:2" x14ac:dyDescent="0.3">
      <c r="A180">
        <f t="shared" si="5"/>
        <v>10.525000000000059</v>
      </c>
      <c r="B180">
        <f t="shared" si="4"/>
        <v>0.17130849713037932</v>
      </c>
    </row>
    <row r="181" spans="1:2" x14ac:dyDescent="0.3">
      <c r="A181">
        <f t="shared" si="5"/>
        <v>10.550000000000059</v>
      </c>
      <c r="B181">
        <f t="shared" si="4"/>
        <v>0.19479243876979735</v>
      </c>
    </row>
    <row r="182" spans="1:2" x14ac:dyDescent="0.3">
      <c r="A182">
        <f t="shared" si="5"/>
        <v>10.57500000000006</v>
      </c>
      <c r="B182">
        <f t="shared" si="4"/>
        <v>0.21996319915679297</v>
      </c>
    </row>
    <row r="183" spans="1:2" x14ac:dyDescent="0.3">
      <c r="A183">
        <f t="shared" si="5"/>
        <v>10.60000000000006</v>
      </c>
      <c r="B183">
        <f t="shared" si="4"/>
        <v>0.24666777380606647</v>
      </c>
    </row>
    <row r="184" spans="1:2" x14ac:dyDescent="0.3">
      <c r="A184">
        <f t="shared" si="5"/>
        <v>10.62500000000006</v>
      </c>
      <c r="B184">
        <f t="shared" si="4"/>
        <v>0.27470027232780869</v>
      </c>
    </row>
    <row r="185" spans="1:2" x14ac:dyDescent="0.3">
      <c r="A185">
        <f t="shared" si="5"/>
        <v>10.650000000000061</v>
      </c>
      <c r="B185">
        <f t="shared" si="4"/>
        <v>0.30380153196364235</v>
      </c>
    </row>
    <row r="186" spans="1:2" x14ac:dyDescent="0.3">
      <c r="A186">
        <f t="shared" si="5"/>
        <v>10.675000000000061</v>
      </c>
      <c r="B186">
        <f t="shared" si="4"/>
        <v>0.33366063233152932</v>
      </c>
    </row>
    <row r="187" spans="1:2" x14ac:dyDescent="0.3">
      <c r="A187">
        <f t="shared" si="5"/>
        <v>10.700000000000061</v>
      </c>
      <c r="B187">
        <f t="shared" si="4"/>
        <v>0.36391845969988301</v>
      </c>
    </row>
    <row r="188" spans="1:2" x14ac:dyDescent="0.3">
      <c r="A188">
        <f t="shared" si="5"/>
        <v>10.725000000000062</v>
      </c>
      <c r="B188">
        <f t="shared" si="4"/>
        <v>0.39417338148324532</v>
      </c>
    </row>
    <row r="189" spans="1:2" x14ac:dyDescent="0.3">
      <c r="A189">
        <f t="shared" si="5"/>
        <v>10.750000000000062</v>
      </c>
      <c r="B189">
        <f t="shared" si="4"/>
        <v>0.42398899121171923</v>
      </c>
    </row>
    <row r="190" spans="1:2" x14ac:dyDescent="0.3">
      <c r="A190">
        <f t="shared" si="5"/>
        <v>10.775000000000063</v>
      </c>
      <c r="B190">
        <f t="shared" si="4"/>
        <v>0.45290377620724837</v>
      </c>
    </row>
    <row r="191" spans="1:2" x14ac:dyDescent="0.3">
      <c r="A191">
        <f t="shared" si="5"/>
        <v>10.800000000000063</v>
      </c>
      <c r="B191">
        <f t="shared" si="4"/>
        <v>0.4804424508881398</v>
      </c>
    </row>
    <row r="192" spans="1:2" x14ac:dyDescent="0.3">
      <c r="A192">
        <f t="shared" si="5"/>
        <v>10.825000000000063</v>
      </c>
      <c r="B192">
        <f t="shared" si="4"/>
        <v>0.50612859496186147</v>
      </c>
    </row>
    <row r="193" spans="1:2" x14ac:dyDescent="0.3">
      <c r="A193">
        <f t="shared" si="5"/>
        <v>10.850000000000064</v>
      </c>
      <c r="B193">
        <f t="shared" si="4"/>
        <v>0.52949814486612401</v>
      </c>
    </row>
    <row r="194" spans="1:2" x14ac:dyDescent="0.3">
      <c r="A194">
        <f t="shared" si="5"/>
        <v>10.875000000000064</v>
      </c>
      <c r="B194">
        <f t="shared" si="4"/>
        <v>0.55011321541549485</v>
      </c>
    </row>
    <row r="195" spans="1:2" x14ac:dyDescent="0.3">
      <c r="A195">
        <f t="shared" si="5"/>
        <v>10.900000000000064</v>
      </c>
      <c r="B195">
        <f t="shared" si="4"/>
        <v>0.56757568251396073</v>
      </c>
    </row>
    <row r="196" spans="1:2" x14ac:dyDescent="0.3">
      <c r="A196">
        <f t="shared" si="5"/>
        <v>10.925000000000065</v>
      </c>
      <c r="B196">
        <f t="shared" si="4"/>
        <v>0.58153994137356435</v>
      </c>
    </row>
    <row r="197" spans="1:2" x14ac:dyDescent="0.3">
      <c r="A197">
        <f t="shared" si="5"/>
        <v>10.950000000000065</v>
      </c>
      <c r="B197">
        <f t="shared" si="4"/>
        <v>0.59172427044786824</v>
      </c>
    </row>
    <row r="198" spans="1:2" x14ac:dyDescent="0.3">
      <c r="A198">
        <f t="shared" si="5"/>
        <v>10.975000000000065</v>
      </c>
      <c r="B198">
        <f t="shared" si="4"/>
        <v>0.59792027961500815</v>
      </c>
    </row>
    <row r="199" spans="1:2" x14ac:dyDescent="0.3">
      <c r="A199">
        <f t="shared" si="5"/>
        <v>11.000000000000066</v>
      </c>
      <c r="B199">
        <f t="shared" si="4"/>
        <v>0.60000000013402799</v>
      </c>
    </row>
    <row r="200" spans="1:2" x14ac:dyDescent="0.3">
      <c r="A200">
        <f t="shared" si="5"/>
        <v>11.025000000000066</v>
      </c>
      <c r="B200">
        <f t="shared" si="4"/>
        <v>0.59792027945885962</v>
      </c>
    </row>
    <row r="201" spans="1:2" x14ac:dyDescent="0.3">
      <c r="A201">
        <f t="shared" si="5"/>
        <v>11.050000000000066</v>
      </c>
      <c r="B201">
        <f t="shared" si="4"/>
        <v>0.59172427008988626</v>
      </c>
    </row>
    <row r="202" spans="1:2" x14ac:dyDescent="0.3">
      <c r="A202">
        <f t="shared" si="5"/>
        <v>11.075000000000067</v>
      </c>
      <c r="B202">
        <f t="shared" si="4"/>
        <v>0.58153994071041482</v>
      </c>
    </row>
    <row r="203" spans="1:2" x14ac:dyDescent="0.3">
      <c r="A203">
        <f t="shared" si="5"/>
        <v>11.100000000000067</v>
      </c>
      <c r="B203">
        <f t="shared" si="4"/>
        <v>0.56757568135798486</v>
      </c>
    </row>
    <row r="204" spans="1:2" x14ac:dyDescent="0.3">
      <c r="A204">
        <f t="shared" si="5"/>
        <v>11.125000000000068</v>
      </c>
      <c r="B204">
        <f t="shared" ref="B204:B267" si="6">$C$2*EXP(-((A204-$A$2)^2/(2*$B$2^2)))+$C$3*EXP(-((A204-$A$3)^2/(2*$B$3^2)))+$C$4*EXP(-((A204-$A$4)^2/(2*$B$4^2)))+$C$5*EXP(-((A204-$A$5)^2/(2*$B$5^2)))+$C$6*EXP(-((A204-$A$6)^2/(2*$B$6^2)))+$C$7*EXP(-((A204-$A$7)^2/(2*$B$7^2)))</f>
        <v>0.5501132134472938</v>
      </c>
    </row>
    <row r="205" spans="1:2" x14ac:dyDescent="0.3">
      <c r="A205">
        <f t="shared" ref="A205:A268" si="7">A204+0.025</f>
        <v>11.150000000000068</v>
      </c>
      <c r="B205">
        <f t="shared" si="6"/>
        <v>0.52949814155594477</v>
      </c>
    </row>
    <row r="206" spans="1:2" x14ac:dyDescent="0.3">
      <c r="A206">
        <f t="shared" si="7"/>
        <v>11.175000000000068</v>
      </c>
      <c r="B206">
        <f t="shared" si="6"/>
        <v>0.50612858944293182</v>
      </c>
    </row>
    <row r="207" spans="1:2" x14ac:dyDescent="0.3">
      <c r="A207">
        <f t="shared" si="7"/>
        <v>11.200000000000069</v>
      </c>
      <c r="B207">
        <f t="shared" si="6"/>
        <v>0.48044244175569956</v>
      </c>
    </row>
    <row r="208" spans="1:2" x14ac:dyDescent="0.3">
      <c r="A208">
        <f t="shared" si="7"/>
        <v>11.225000000000069</v>
      </c>
      <c r="B208">
        <f t="shared" si="6"/>
        <v>0.45290376120305897</v>
      </c>
    </row>
    <row r="209" spans="1:2" x14ac:dyDescent="0.3">
      <c r="A209">
        <f t="shared" si="7"/>
        <v>11.250000000000069</v>
      </c>
      <c r="B209">
        <f t="shared" si="6"/>
        <v>0.42398896673323211</v>
      </c>
    </row>
    <row r="210" spans="1:2" x14ac:dyDescent="0.3">
      <c r="A210">
        <f t="shared" si="7"/>
        <v>11.27500000000007</v>
      </c>
      <c r="B210">
        <f t="shared" si="6"/>
        <v>0.3941733418263762</v>
      </c>
    </row>
    <row r="211" spans="1:2" x14ac:dyDescent="0.3">
      <c r="A211">
        <f t="shared" si="7"/>
        <v>11.30000000000007</v>
      </c>
      <c r="B211">
        <f t="shared" si="6"/>
        <v>0.36391839590041042</v>
      </c>
    </row>
    <row r="212" spans="1:2" x14ac:dyDescent="0.3">
      <c r="A212">
        <f t="shared" si="7"/>
        <v>11.32500000000007</v>
      </c>
      <c r="B212">
        <f t="shared" si="6"/>
        <v>0.33366053040689958</v>
      </c>
    </row>
    <row r="213" spans="1:2" x14ac:dyDescent="0.3">
      <c r="A213">
        <f t="shared" si="7"/>
        <v>11.350000000000071</v>
      </c>
      <c r="B213">
        <f t="shared" si="6"/>
        <v>0.30380137026687659</v>
      </c>
    </row>
    <row r="214" spans="1:2" x14ac:dyDescent="0.3">
      <c r="A214">
        <f t="shared" si="7"/>
        <v>11.375000000000071</v>
      </c>
      <c r="B214">
        <f t="shared" si="6"/>
        <v>0.27470001759822887</v>
      </c>
    </row>
    <row r="215" spans="1:2" x14ac:dyDescent="0.3">
      <c r="A215">
        <f t="shared" si="7"/>
        <v>11.400000000000071</v>
      </c>
      <c r="B215">
        <f t="shared" si="6"/>
        <v>0.24666737532456787</v>
      </c>
    </row>
    <row r="216" spans="1:2" x14ac:dyDescent="0.3">
      <c r="A216">
        <f t="shared" si="7"/>
        <v>11.425000000000072</v>
      </c>
      <c r="B216">
        <f t="shared" si="6"/>
        <v>0.21996258016951156</v>
      </c>
    </row>
    <row r="217" spans="1:2" x14ac:dyDescent="0.3">
      <c r="A217">
        <f t="shared" si="7"/>
        <v>11.450000000000072</v>
      </c>
      <c r="B217">
        <f t="shared" si="6"/>
        <v>0.19479148401202115</v>
      </c>
    </row>
    <row r="218" spans="1:2" x14ac:dyDescent="0.3">
      <c r="A218">
        <f t="shared" si="7"/>
        <v>11.475000000000072</v>
      </c>
      <c r="B218">
        <f t="shared" si="6"/>
        <v>0.17130703483628892</v>
      </c>
    </row>
    <row r="219" spans="1:2" x14ac:dyDescent="0.3">
      <c r="A219">
        <f t="shared" si="7"/>
        <v>11.500000000000073</v>
      </c>
      <c r="B219">
        <f t="shared" si="6"/>
        <v>0.14961133745030145</v>
      </c>
    </row>
    <row r="220" spans="1:2" x14ac:dyDescent="0.3">
      <c r="A220">
        <f t="shared" si="7"/>
        <v>11.525000000000073</v>
      </c>
      <c r="B220">
        <f t="shared" si="6"/>
        <v>0.12975912218781688</v>
      </c>
    </row>
    <row r="221" spans="1:2" x14ac:dyDescent="0.3">
      <c r="A221">
        <f t="shared" si="7"/>
        <v>11.550000000000074</v>
      </c>
      <c r="B221">
        <f t="shared" si="6"/>
        <v>0.11176231786981299</v>
      </c>
    </row>
    <row r="222" spans="1:2" x14ac:dyDescent="0.3">
      <c r="A222">
        <f t="shared" si="7"/>
        <v>11.575000000000074</v>
      </c>
      <c r="B222">
        <f t="shared" si="6"/>
        <v>9.5595412908917668E-2</v>
      </c>
    </row>
    <row r="223" spans="1:2" x14ac:dyDescent="0.3">
      <c r="A223">
        <f t="shared" si="7"/>
        <v>11.600000000000074</v>
      </c>
      <c r="B223">
        <f t="shared" si="6"/>
        <v>8.1201293922178286E-2</v>
      </c>
    </row>
    <row r="224" spans="1:2" x14ac:dyDescent="0.3">
      <c r="A224">
        <f t="shared" si="7"/>
        <v>11.625000000000075</v>
      </c>
      <c r="B224">
        <f t="shared" si="6"/>
        <v>6.8497271972056961E-2</v>
      </c>
    </row>
    <row r="225" spans="1:2" x14ac:dyDescent="0.3">
      <c r="A225">
        <f t="shared" si="7"/>
        <v>11.650000000000075</v>
      </c>
      <c r="B225">
        <f t="shared" si="6"/>
        <v>5.7381039356749368E-2</v>
      </c>
    </row>
    <row r="226" spans="1:2" x14ac:dyDescent="0.3">
      <c r="A226">
        <f t="shared" si="7"/>
        <v>11.675000000000075</v>
      </c>
      <c r="B226">
        <f t="shared" si="6"/>
        <v>4.7736341182398868E-2</v>
      </c>
    </row>
    <row r="227" spans="1:2" x14ac:dyDescent="0.3">
      <c r="A227">
        <f t="shared" si="7"/>
        <v>11.700000000000076</v>
      </c>
      <c r="B227">
        <f t="shared" si="6"/>
        <v>3.9438192219717165E-2</v>
      </c>
    </row>
    <row r="228" spans="1:2" x14ac:dyDescent="0.3">
      <c r="A228">
        <f t="shared" si="7"/>
        <v>11.725000000000076</v>
      </c>
      <c r="B228">
        <f t="shared" si="6"/>
        <v>3.2357517463127511E-2</v>
      </c>
    </row>
    <row r="229" spans="1:2" x14ac:dyDescent="0.3">
      <c r="A229">
        <f t="shared" si="7"/>
        <v>11.750000000000076</v>
      </c>
      <c r="B229">
        <f t="shared" si="6"/>
        <v>2.6365141496565329E-2</v>
      </c>
    </row>
    <row r="230" spans="1:2" x14ac:dyDescent="0.3">
      <c r="A230">
        <f t="shared" si="7"/>
        <v>11.775000000000077</v>
      </c>
      <c r="B230">
        <f t="shared" si="6"/>
        <v>2.133509492322767E-2</v>
      </c>
    </row>
    <row r="231" spans="1:2" x14ac:dyDescent="0.3">
      <c r="A231">
        <f t="shared" si="7"/>
        <v>11.800000000000077</v>
      </c>
      <c r="B231">
        <f t="shared" si="6"/>
        <v>1.7147244074163178E-2</v>
      </c>
    </row>
    <row r="232" spans="1:2" x14ac:dyDescent="0.3">
      <c r="A232">
        <f t="shared" si="7"/>
        <v>11.825000000000077</v>
      </c>
      <c r="B232">
        <f t="shared" si="6"/>
        <v>1.3689281957275982E-2</v>
      </c>
    </row>
    <row r="233" spans="1:2" x14ac:dyDescent="0.3">
      <c r="A233">
        <f t="shared" si="7"/>
        <v>11.850000000000078</v>
      </c>
      <c r="B233">
        <f t="shared" si="6"/>
        <v>1.0858143529073853E-2</v>
      </c>
    </row>
    <row r="234" spans="1:2" x14ac:dyDescent="0.3">
      <c r="A234">
        <f t="shared" si="7"/>
        <v>11.875000000000078</v>
      </c>
      <c r="B234">
        <f t="shared" si="6"/>
        <v>8.5609269619502555E-3</v>
      </c>
    </row>
    <row r="235" spans="1:2" x14ac:dyDescent="0.3">
      <c r="A235">
        <f t="shared" si="7"/>
        <v>11.900000000000079</v>
      </c>
      <c r="B235">
        <f t="shared" si="6"/>
        <v>6.7154151259604094E-3</v>
      </c>
    </row>
    <row r="236" spans="1:2" x14ac:dyDescent="0.3">
      <c r="A236">
        <f t="shared" si="7"/>
        <v>11.925000000000079</v>
      </c>
      <c r="B236">
        <f t="shared" si="6"/>
        <v>5.2502987439541392E-3</v>
      </c>
    </row>
    <row r="237" spans="1:2" x14ac:dyDescent="0.3">
      <c r="A237">
        <f t="shared" si="7"/>
        <v>11.950000000000079</v>
      </c>
      <c r="B237">
        <f t="shared" si="6"/>
        <v>4.1052054578290453E-3</v>
      </c>
    </row>
    <row r="238" spans="1:2" x14ac:dyDescent="0.3">
      <c r="A238">
        <f t="shared" si="7"/>
        <v>11.97500000000008</v>
      </c>
      <c r="B238">
        <f t="shared" si="6"/>
        <v>3.2306381735856819E-3</v>
      </c>
    </row>
    <row r="239" spans="1:2" x14ac:dyDescent="0.3">
      <c r="A239">
        <f t="shared" si="7"/>
        <v>12.00000000000008</v>
      </c>
      <c r="B239">
        <f t="shared" si="6"/>
        <v>2.5879221860128417E-3</v>
      </c>
    </row>
    <row r="240" spans="1:2" x14ac:dyDescent="0.3">
      <c r="A240">
        <f t="shared" si="7"/>
        <v>12.02500000000008</v>
      </c>
      <c r="B240">
        <f t="shared" si="6"/>
        <v>2.1492541088617111E-3</v>
      </c>
    </row>
    <row r="241" spans="1:2" x14ac:dyDescent="0.3">
      <c r="A241">
        <f t="shared" si="7"/>
        <v>12.050000000000081</v>
      </c>
      <c r="B241">
        <f t="shared" si="6"/>
        <v>1.8979366060566298E-3</v>
      </c>
    </row>
    <row r="242" spans="1:2" x14ac:dyDescent="0.3">
      <c r="A242">
        <f t="shared" si="7"/>
        <v>12.075000000000081</v>
      </c>
      <c r="B242">
        <f t="shared" si="6"/>
        <v>1.8288710183725582E-3</v>
      </c>
    </row>
    <row r="243" spans="1:2" x14ac:dyDescent="0.3">
      <c r="A243">
        <f t="shared" si="7"/>
        <v>12.100000000000081</v>
      </c>
      <c r="B243">
        <f t="shared" si="6"/>
        <v>1.9493645405579715E-3</v>
      </c>
    </row>
    <row r="244" spans="1:2" x14ac:dyDescent="0.3">
      <c r="A244">
        <f t="shared" si="7"/>
        <v>12.125000000000082</v>
      </c>
      <c r="B244">
        <f t="shared" si="6"/>
        <v>2.2802886791359342E-3</v>
      </c>
    </row>
    <row r="245" spans="1:2" x14ac:dyDescent="0.3">
      <c r="A245">
        <f t="shared" si="7"/>
        <v>12.150000000000082</v>
      </c>
      <c r="B245">
        <f t="shared" si="6"/>
        <v>2.8576002198326695E-3</v>
      </c>
    </row>
    <row r="246" spans="1:2" x14ac:dyDescent="0.3">
      <c r="A246">
        <f t="shared" si="7"/>
        <v>12.175000000000082</v>
      </c>
      <c r="B246">
        <f t="shared" si="6"/>
        <v>3.7342038200897294E-3</v>
      </c>
    </row>
    <row r="247" spans="1:2" x14ac:dyDescent="0.3">
      <c r="A247">
        <f t="shared" si="7"/>
        <v>12.200000000000083</v>
      </c>
      <c r="B247">
        <f t="shared" si="6"/>
        <v>4.9820958966253328E-3</v>
      </c>
    </row>
    <row r="248" spans="1:2" x14ac:dyDescent="0.3">
      <c r="A248">
        <f t="shared" si="7"/>
        <v>12.225000000000083</v>
      </c>
      <c r="B248">
        <f t="shared" si="6"/>
        <v>6.6946826039212103E-3</v>
      </c>
    </row>
    <row r="249" spans="1:2" x14ac:dyDescent="0.3">
      <c r="A249">
        <f t="shared" si="7"/>
        <v>12.250000000000083</v>
      </c>
      <c r="B249">
        <f t="shared" si="6"/>
        <v>8.9891112525676223E-3</v>
      </c>
    </row>
    <row r="250" spans="1:2" x14ac:dyDescent="0.3">
      <c r="A250">
        <f t="shared" si="7"/>
        <v>12.275000000000084</v>
      </c>
      <c r="B250">
        <f t="shared" si="6"/>
        <v>1.200839661753015E-2</v>
      </c>
    </row>
    <row r="251" spans="1:2" x14ac:dyDescent="0.3">
      <c r="A251">
        <f t="shared" si="7"/>
        <v>12.300000000000084</v>
      </c>
      <c r="B251">
        <f t="shared" si="6"/>
        <v>1.5923064867559265E-2</v>
      </c>
    </row>
    <row r="252" spans="1:2" x14ac:dyDescent="0.3">
      <c r="A252">
        <f t="shared" si="7"/>
        <v>12.325000000000085</v>
      </c>
      <c r="B252">
        <f t="shared" si="6"/>
        <v>2.0931983569907199E-2</v>
      </c>
    </row>
    <row r="253" spans="1:2" x14ac:dyDescent="0.3">
      <c r="A253">
        <f t="shared" si="7"/>
        <v>12.350000000000085</v>
      </c>
      <c r="B253">
        <f t="shared" si="6"/>
        <v>2.7262003209451654E-2</v>
      </c>
    </row>
    <row r="254" spans="1:2" x14ac:dyDescent="0.3">
      <c r="A254">
        <f t="shared" si="7"/>
        <v>12.375000000000085</v>
      </c>
      <c r="B254">
        <f t="shared" si="6"/>
        <v>3.5166011968655306E-2</v>
      </c>
    </row>
    <row r="255" spans="1:2" x14ac:dyDescent="0.3">
      <c r="A255">
        <f t="shared" si="7"/>
        <v>12.400000000000086</v>
      </c>
      <c r="B255">
        <f t="shared" si="6"/>
        <v>4.4919009841597329E-2</v>
      </c>
    </row>
    <row r="256" spans="1:2" x14ac:dyDescent="0.3">
      <c r="A256">
        <f t="shared" si="7"/>
        <v>12.425000000000086</v>
      </c>
      <c r="B256">
        <f t="shared" si="6"/>
        <v>5.6811848939566437E-2</v>
      </c>
    </row>
    <row r="257" spans="1:2" x14ac:dyDescent="0.3">
      <c r="A257">
        <f t="shared" si="7"/>
        <v>12.450000000000086</v>
      </c>
      <c r="B257">
        <f t="shared" si="6"/>
        <v>7.1142371114588959E-2</v>
      </c>
    </row>
    <row r="258" spans="1:2" x14ac:dyDescent="0.3">
      <c r="A258">
        <f t="shared" si="7"/>
        <v>12.475000000000087</v>
      </c>
      <c r="B258">
        <f t="shared" si="6"/>
        <v>8.8203806077745889E-2</v>
      </c>
    </row>
    <row r="259" spans="1:2" x14ac:dyDescent="0.3">
      <c r="A259">
        <f t="shared" si="7"/>
        <v>12.500000000000087</v>
      </c>
      <c r="B259">
        <f t="shared" si="6"/>
        <v>0.10827047324225461</v>
      </c>
    </row>
    <row r="260" spans="1:2" x14ac:dyDescent="0.3">
      <c r="A260">
        <f t="shared" si="7"/>
        <v>12.525000000000087</v>
      </c>
      <c r="B260">
        <f t="shared" si="6"/>
        <v>0.13158105353784305</v>
      </c>
    </row>
    <row r="261" spans="1:2" x14ac:dyDescent="0.3">
      <c r="A261">
        <f t="shared" si="7"/>
        <v>12.550000000000088</v>
      </c>
      <c r="B261">
        <f t="shared" si="6"/>
        <v>0.15831995231655871</v>
      </c>
    </row>
    <row r="262" spans="1:2" x14ac:dyDescent="0.3">
      <c r="A262">
        <f t="shared" si="7"/>
        <v>12.575000000000088</v>
      </c>
      <c r="B262">
        <f t="shared" si="6"/>
        <v>0.18859754381458491</v>
      </c>
    </row>
    <row r="263" spans="1:2" x14ac:dyDescent="0.3">
      <c r="A263">
        <f t="shared" si="7"/>
        <v>12.600000000000088</v>
      </c>
      <c r="B263">
        <f t="shared" si="6"/>
        <v>0.22243034834708897</v>
      </c>
    </row>
    <row r="264" spans="1:2" x14ac:dyDescent="0.3">
      <c r="A264">
        <f t="shared" si="7"/>
        <v>12.625000000000089</v>
      </c>
      <c r="B264">
        <f t="shared" si="6"/>
        <v>0.25972241812208446</v>
      </c>
    </row>
    <row r="265" spans="1:2" x14ac:dyDescent="0.3">
      <c r="A265">
        <f t="shared" si="7"/>
        <v>12.650000000000089</v>
      </c>
      <c r="B265">
        <f t="shared" si="6"/>
        <v>0.30024936695607995</v>
      </c>
    </row>
    <row r="266" spans="1:2" x14ac:dyDescent="0.3">
      <c r="A266">
        <f t="shared" si="7"/>
        <v>12.67500000000009</v>
      </c>
      <c r="B266">
        <f t="shared" si="6"/>
        <v>0.34364654509383485</v>
      </c>
    </row>
    <row r="267" spans="1:2" x14ac:dyDescent="0.3">
      <c r="A267">
        <f t="shared" si="7"/>
        <v>12.70000000000009</v>
      </c>
      <c r="B267">
        <f t="shared" si="6"/>
        <v>0.38940280930896815</v>
      </c>
    </row>
    <row r="268" spans="1:2" x14ac:dyDescent="0.3">
      <c r="A268">
        <f t="shared" si="7"/>
        <v>12.72500000000009</v>
      </c>
      <c r="B268">
        <f t="shared" ref="B268:B331" si="8">$C$2*EXP(-((A268-$A$2)^2/(2*$B$2^2)))+$C$3*EXP(-((A268-$A$3)^2/(2*$B$3^2)))+$C$4*EXP(-((A268-$A$4)^2/(2*$B$4^2)))+$C$5*EXP(-((A268-$A$5)^2/(2*$B$5^2)))+$C$6*EXP(-((A268-$A$6)^2/(2*$B$6^2)))+$C$7*EXP(-((A268-$A$7)^2/(2*$B$7^2)))</f>
        <v>0.43686115534472775</v>
      </c>
    </row>
    <row r="269" spans="1:2" x14ac:dyDescent="0.3">
      <c r="A269">
        <f t="shared" ref="A269:A332" si="9">A268+0.025</f>
        <v>12.750000000000091</v>
      </c>
      <c r="B269">
        <f t="shared" si="8"/>
        <v>0.48522716092451934</v>
      </c>
    </row>
    <row r="270" spans="1:2" x14ac:dyDescent="0.3">
      <c r="A270">
        <f t="shared" si="9"/>
        <v>12.775000000000091</v>
      </c>
      <c r="B270">
        <f t="shared" si="8"/>
        <v>0.53358574319830376</v>
      </c>
    </row>
    <row r="271" spans="1:2" x14ac:dyDescent="0.3">
      <c r="A271">
        <f t="shared" si="9"/>
        <v>12.800000000000091</v>
      </c>
      <c r="B271">
        <f t="shared" si="8"/>
        <v>0.58092618945012442</v>
      </c>
    </row>
    <row r="272" spans="1:2" x14ac:dyDescent="0.3">
      <c r="A272">
        <f t="shared" si="9"/>
        <v>12.825000000000092</v>
      </c>
      <c r="B272">
        <f t="shared" si="8"/>
        <v>0.62617481286564236</v>
      </c>
    </row>
    <row r="273" spans="1:2" x14ac:dyDescent="0.3">
      <c r="A273">
        <f t="shared" si="9"/>
        <v>12.850000000000092</v>
      </c>
      <c r="B273">
        <f t="shared" si="8"/>
        <v>0.66823396598703722</v>
      </c>
    </row>
    <row r="274" spans="1:2" x14ac:dyDescent="0.3">
      <c r="A274">
        <f t="shared" si="9"/>
        <v>12.875000000000092</v>
      </c>
      <c r="B274">
        <f t="shared" si="8"/>
        <v>0.70602556975221042</v>
      </c>
    </row>
    <row r="275" spans="1:2" x14ac:dyDescent="0.3">
      <c r="A275">
        <f t="shared" si="9"/>
        <v>12.900000000000093</v>
      </c>
      <c r="B275">
        <f t="shared" si="8"/>
        <v>0.73853684333192138</v>
      </c>
    </row>
    <row r="276" spans="1:2" x14ac:dyDescent="0.3">
      <c r="A276">
        <f t="shared" si="9"/>
        <v>12.925000000000093</v>
      </c>
      <c r="B276">
        <f t="shared" si="8"/>
        <v>0.76486560154389671</v>
      </c>
    </row>
    <row r="277" spans="1:2" x14ac:dyDescent="0.3">
      <c r="A277">
        <f t="shared" si="9"/>
        <v>12.950000000000093</v>
      </c>
      <c r="B277">
        <f t="shared" si="8"/>
        <v>0.78426236289912055</v>
      </c>
    </row>
    <row r="278" spans="1:2" x14ac:dyDescent="0.3">
      <c r="A278">
        <f t="shared" si="9"/>
        <v>12.975000000000094</v>
      </c>
      <c r="B278">
        <f t="shared" si="8"/>
        <v>0.79616660564255171</v>
      </c>
    </row>
    <row r="279" spans="1:2" x14ac:dyDescent="0.3">
      <c r="A279">
        <f t="shared" si="9"/>
        <v>13.000000000000094</v>
      </c>
      <c r="B279">
        <f t="shared" si="8"/>
        <v>0.80023482397355006</v>
      </c>
    </row>
    <row r="280" spans="1:2" x14ac:dyDescent="0.3">
      <c r="A280">
        <f t="shared" si="9"/>
        <v>13.025000000000095</v>
      </c>
      <c r="B280">
        <f t="shared" si="8"/>
        <v>0.79635855222579532</v>
      </c>
    </row>
    <row r="281" spans="1:2" x14ac:dyDescent="0.3">
      <c r="A281">
        <f t="shared" si="9"/>
        <v>13.050000000000095</v>
      </c>
      <c r="B281">
        <f t="shared" si="8"/>
        <v>0.78467120038207094</v>
      </c>
    </row>
    <row r="282" spans="1:2" x14ac:dyDescent="0.3">
      <c r="A282">
        <f t="shared" si="9"/>
        <v>13.075000000000095</v>
      </c>
      <c r="B282">
        <f t="shared" si="8"/>
        <v>0.76554332185659524</v>
      </c>
    </row>
    <row r="283" spans="1:2" x14ac:dyDescent="0.3">
      <c r="A283">
        <f t="shared" si="9"/>
        <v>13.100000000000096</v>
      </c>
      <c r="B283">
        <f t="shared" si="8"/>
        <v>0.73956674459846283</v>
      </c>
    </row>
    <row r="284" spans="1:2" x14ac:dyDescent="0.3">
      <c r="A284">
        <f t="shared" si="9"/>
        <v>13.125000000000096</v>
      </c>
      <c r="B284">
        <f t="shared" si="8"/>
        <v>0.70752876585791091</v>
      </c>
    </row>
    <row r="285" spans="1:2" x14ac:dyDescent="0.3">
      <c r="A285">
        <f t="shared" si="9"/>
        <v>13.150000000000096</v>
      </c>
      <c r="B285">
        <f t="shared" si="8"/>
        <v>0.67037826991885108</v>
      </c>
    </row>
    <row r="286" spans="1:2" x14ac:dyDescent="0.3">
      <c r="A286">
        <f t="shared" si="9"/>
        <v>13.175000000000097</v>
      </c>
      <c r="B286">
        <f t="shared" si="8"/>
        <v>0.62918611860098606</v>
      </c>
    </row>
    <row r="287" spans="1:2" x14ac:dyDescent="0.3">
      <c r="A287">
        <f t="shared" si="9"/>
        <v>13.200000000000097</v>
      </c>
      <c r="B287">
        <f t="shared" si="8"/>
        <v>0.58510244568654213</v>
      </c>
    </row>
    <row r="288" spans="1:2" x14ac:dyDescent="0.3">
      <c r="A288">
        <f t="shared" si="9"/>
        <v>13.225000000000097</v>
      </c>
      <c r="B288">
        <f t="shared" si="8"/>
        <v>0.53931353939734294</v>
      </c>
    </row>
    <row r="289" spans="1:2" x14ac:dyDescent="0.3">
      <c r="A289">
        <f t="shared" si="9"/>
        <v>13.250000000000098</v>
      </c>
      <c r="B289">
        <f t="shared" si="8"/>
        <v>0.49300082534706197</v>
      </c>
    </row>
    <row r="290" spans="1:2" x14ac:dyDescent="0.3">
      <c r="A290">
        <f t="shared" si="9"/>
        <v>13.275000000000098</v>
      </c>
      <c r="B290">
        <f t="shared" si="8"/>
        <v>0.44730409156013373</v>
      </c>
    </row>
    <row r="291" spans="1:2" x14ac:dyDescent="0.3">
      <c r="A291">
        <f t="shared" si="9"/>
        <v>13.300000000000098</v>
      </c>
      <c r="B291">
        <f t="shared" si="8"/>
        <v>0.40329057108897137</v>
      </c>
    </row>
    <row r="292" spans="1:2" x14ac:dyDescent="0.3">
      <c r="A292">
        <f t="shared" si="9"/>
        <v>13.325000000000099</v>
      </c>
      <c r="B292">
        <f t="shared" si="8"/>
        <v>0.36193087346623154</v>
      </c>
    </row>
    <row r="293" spans="1:2" x14ac:dyDescent="0.3">
      <c r="A293">
        <f t="shared" si="9"/>
        <v>13.350000000000099</v>
      </c>
      <c r="B293">
        <f t="shared" si="8"/>
        <v>0.32408209739522553</v>
      </c>
    </row>
    <row r="294" spans="1:2" x14ac:dyDescent="0.3">
      <c r="A294">
        <f t="shared" si="9"/>
        <v>13.375000000000099</v>
      </c>
      <c r="B294">
        <f t="shared" si="8"/>
        <v>0.29047782742295536</v>
      </c>
    </row>
    <row r="295" spans="1:2" x14ac:dyDescent="0.3">
      <c r="A295">
        <f t="shared" si="9"/>
        <v>13.4000000000001</v>
      </c>
      <c r="B295">
        <f t="shared" si="8"/>
        <v>0.26172417434635209</v>
      </c>
    </row>
    <row r="296" spans="1:2" x14ac:dyDescent="0.3">
      <c r="A296">
        <f t="shared" si="9"/>
        <v>13.4250000000001</v>
      </c>
      <c r="B296">
        <f t="shared" si="8"/>
        <v>0.23830060886235799</v>
      </c>
    </row>
    <row r="297" spans="1:2" x14ac:dyDescent="0.3">
      <c r="A297">
        <f t="shared" si="9"/>
        <v>13.450000000000101</v>
      </c>
      <c r="B297">
        <f t="shared" si="8"/>
        <v>0.22056409148840472</v>
      </c>
    </row>
    <row r="298" spans="1:2" x14ac:dyDescent="0.3">
      <c r="A298">
        <f t="shared" si="9"/>
        <v>13.475000000000101</v>
      </c>
      <c r="B298">
        <f t="shared" si="8"/>
        <v>0.20875493297482928</v>
      </c>
    </row>
    <row r="299" spans="1:2" x14ac:dyDescent="0.3">
      <c r="A299">
        <f t="shared" si="9"/>
        <v>13.500000000000101</v>
      </c>
      <c r="B299">
        <f t="shared" si="8"/>
        <v>0.20300292485490898</v>
      </c>
    </row>
    <row r="300" spans="1:2" x14ac:dyDescent="0.3">
      <c r="A300">
        <f t="shared" si="9"/>
        <v>13.525000000000102</v>
      </c>
      <c r="B300">
        <f t="shared" si="8"/>
        <v>0.20333253984761129</v>
      </c>
    </row>
    <row r="301" spans="1:2" x14ac:dyDescent="0.3">
      <c r="A301">
        <f t="shared" si="9"/>
        <v>13.550000000000102</v>
      </c>
      <c r="B301">
        <f t="shared" si="8"/>
        <v>0.20966638332607898</v>
      </c>
    </row>
    <row r="302" spans="1:2" x14ac:dyDescent="0.3">
      <c r="A302">
        <f t="shared" si="9"/>
        <v>13.575000000000102</v>
      </c>
      <c r="B302">
        <f t="shared" si="8"/>
        <v>0.22182653658087872</v>
      </c>
    </row>
    <row r="303" spans="1:2" x14ac:dyDescent="0.3">
      <c r="A303">
        <f t="shared" si="9"/>
        <v>13.600000000000103</v>
      </c>
      <c r="B303">
        <f t="shared" si="8"/>
        <v>0.23953392058463283</v>
      </c>
    </row>
    <row r="304" spans="1:2" x14ac:dyDescent="0.3">
      <c r="A304">
        <f t="shared" si="9"/>
        <v>13.625000000000103</v>
      </c>
      <c r="B304">
        <f t="shared" si="8"/>
        <v>0.26240627404968725</v>
      </c>
    </row>
    <row r="305" spans="1:2" x14ac:dyDescent="0.3">
      <c r="A305">
        <f t="shared" si="9"/>
        <v>13.650000000000103</v>
      </c>
      <c r="B305">
        <f t="shared" si="8"/>
        <v>0.28995573298380567</v>
      </c>
    </row>
    <row r="306" spans="1:2" x14ac:dyDescent="0.3">
      <c r="A306">
        <f t="shared" si="9"/>
        <v>13.675000000000104</v>
      </c>
      <c r="B306">
        <f t="shared" si="8"/>
        <v>0.32158727863083614</v>
      </c>
    </row>
    <row r="307" spans="1:2" x14ac:dyDescent="0.3">
      <c r="A307">
        <f t="shared" si="9"/>
        <v>13.700000000000104</v>
      </c>
      <c r="B307">
        <f t="shared" si="8"/>
        <v>0.35659945496771434</v>
      </c>
    </row>
    <row r="308" spans="1:2" x14ac:dyDescent="0.3">
      <c r="A308">
        <f t="shared" si="9"/>
        <v>13.725000000000104</v>
      </c>
      <c r="B308">
        <f t="shared" si="8"/>
        <v>0.3941887275033748</v>
      </c>
    </row>
    <row r="309" spans="1:2" x14ac:dyDescent="0.3">
      <c r="A309">
        <f t="shared" si="9"/>
        <v>13.750000000000105</v>
      </c>
      <c r="B309">
        <f t="shared" si="8"/>
        <v>0.4334586590299091</v>
      </c>
    </row>
    <row r="310" spans="1:2" x14ac:dyDescent="0.3">
      <c r="A310">
        <f t="shared" si="9"/>
        <v>13.775000000000105</v>
      </c>
      <c r="B310">
        <f t="shared" si="8"/>
        <v>0.47343472841316753</v>
      </c>
    </row>
    <row r="311" spans="1:2" x14ac:dyDescent="0.3">
      <c r="A311">
        <f t="shared" si="9"/>
        <v>13.800000000000106</v>
      </c>
      <c r="B311">
        <f t="shared" si="8"/>
        <v>0.51308514426880369</v>
      </c>
    </row>
    <row r="312" spans="1:2" x14ac:dyDescent="0.3">
      <c r="A312">
        <f t="shared" si="9"/>
        <v>13.825000000000106</v>
      </c>
      <c r="B312">
        <f t="shared" si="8"/>
        <v>0.55134744877749997</v>
      </c>
    </row>
    <row r="313" spans="1:2" x14ac:dyDescent="0.3">
      <c r="A313">
        <f t="shared" si="9"/>
        <v>13.850000000000106</v>
      </c>
      <c r="B313">
        <f t="shared" si="8"/>
        <v>0.58716012031814124</v>
      </c>
    </row>
    <row r="314" spans="1:2" x14ac:dyDescent="0.3">
      <c r="A314">
        <f t="shared" si="9"/>
        <v>13.875000000000107</v>
      </c>
      <c r="B314">
        <f t="shared" si="8"/>
        <v>0.61949782471025872</v>
      </c>
    </row>
    <row r="315" spans="1:2" x14ac:dyDescent="0.3">
      <c r="A315">
        <f t="shared" si="9"/>
        <v>13.900000000000107</v>
      </c>
      <c r="B315">
        <f t="shared" si="8"/>
        <v>0.64740849102566189</v>
      </c>
    </row>
    <row r="316" spans="1:2" x14ac:dyDescent="0.3">
      <c r="A316">
        <f t="shared" si="9"/>
        <v>13.925000000000107</v>
      </c>
      <c r="B316">
        <f t="shared" si="8"/>
        <v>0.67005005029303399</v>
      </c>
    </row>
    <row r="317" spans="1:2" x14ac:dyDescent="0.3">
      <c r="A317">
        <f t="shared" si="9"/>
        <v>13.950000000000108</v>
      </c>
      <c r="B317">
        <f t="shared" si="8"/>
        <v>0.68672451328614892</v>
      </c>
    </row>
    <row r="318" spans="1:2" x14ac:dyDescent="0.3">
      <c r="A318">
        <f t="shared" si="9"/>
        <v>13.975000000000108</v>
      </c>
      <c r="B318">
        <f t="shared" si="8"/>
        <v>0.69690709983596522</v>
      </c>
    </row>
    <row r="319" spans="1:2" x14ac:dyDescent="0.3">
      <c r="A319">
        <f t="shared" si="9"/>
        <v>14.000000000000108</v>
      </c>
      <c r="B319">
        <f t="shared" si="8"/>
        <v>0.70026837021400301</v>
      </c>
    </row>
    <row r="320" spans="1:2" x14ac:dyDescent="0.3">
      <c r="A320">
        <f t="shared" si="9"/>
        <v>14.025000000000109</v>
      </c>
      <c r="B320">
        <f t="shared" si="8"/>
        <v>0.69668773226379965</v>
      </c>
    </row>
    <row r="321" spans="1:2" x14ac:dyDescent="0.3">
      <c r="A321">
        <f t="shared" si="9"/>
        <v>14.050000000000109</v>
      </c>
      <c r="B321">
        <f t="shared" si="8"/>
        <v>0.68625727033743344</v>
      </c>
    </row>
    <row r="322" spans="1:2" x14ac:dyDescent="0.3">
      <c r="A322">
        <f t="shared" si="9"/>
        <v>14.075000000000109</v>
      </c>
      <c r="B322">
        <f t="shared" si="8"/>
        <v>0.66927551258716433</v>
      </c>
    </row>
    <row r="323" spans="1:2" x14ac:dyDescent="0.3">
      <c r="A323">
        <f t="shared" si="9"/>
        <v>14.10000000000011</v>
      </c>
      <c r="B323">
        <f t="shared" si="8"/>
        <v>0.64623146064843517</v>
      </c>
    </row>
    <row r="324" spans="1:2" x14ac:dyDescent="0.3">
      <c r="A324">
        <f t="shared" si="9"/>
        <v>14.12500000000011</v>
      </c>
      <c r="B324">
        <f t="shared" si="8"/>
        <v>0.617779885693852</v>
      </c>
    </row>
    <row r="325" spans="1:2" x14ac:dyDescent="0.3">
      <c r="A325">
        <f t="shared" si="9"/>
        <v>14.15000000000011</v>
      </c>
      <c r="B325">
        <f t="shared" si="8"/>
        <v>0.58470948622770713</v>
      </c>
    </row>
    <row r="326" spans="1:2" x14ac:dyDescent="0.3">
      <c r="A326">
        <f t="shared" si="9"/>
        <v>14.175000000000111</v>
      </c>
      <c r="B326">
        <f t="shared" si="8"/>
        <v>0.54790595479897131</v>
      </c>
    </row>
    <row r="327" spans="1:2" x14ac:dyDescent="0.3">
      <c r="A327">
        <f t="shared" si="9"/>
        <v>14.200000000000111</v>
      </c>
      <c r="B327">
        <f t="shared" si="8"/>
        <v>0.50831227716983729</v>
      </c>
    </row>
    <row r="328" spans="1:2" x14ac:dyDescent="0.3">
      <c r="A328">
        <f t="shared" si="9"/>
        <v>14.225000000000112</v>
      </c>
      <c r="B328">
        <f t="shared" si="8"/>
        <v>0.46688867096659531</v>
      </c>
    </row>
    <row r="329" spans="1:2" x14ac:dyDescent="0.3">
      <c r="A329">
        <f t="shared" si="9"/>
        <v>14.250000000000112</v>
      </c>
      <c r="B329">
        <f t="shared" si="8"/>
        <v>0.42457446353537115</v>
      </c>
    </row>
    <row r="330" spans="1:2" x14ac:dyDescent="0.3">
      <c r="A330">
        <f t="shared" si="9"/>
        <v>14.275000000000112</v>
      </c>
      <c r="B330">
        <f t="shared" si="8"/>
        <v>0.38225393097038957</v>
      </c>
    </row>
    <row r="331" spans="1:2" x14ac:dyDescent="0.3">
      <c r="A331">
        <f t="shared" si="9"/>
        <v>14.300000000000113</v>
      </c>
      <c r="B331">
        <f t="shared" si="8"/>
        <v>0.34072770744847514</v>
      </c>
    </row>
    <row r="332" spans="1:2" x14ac:dyDescent="0.3">
      <c r="A332">
        <f t="shared" si="9"/>
        <v>14.325000000000113</v>
      </c>
      <c r="B332">
        <f t="shared" ref="B332:B395" si="10">$C$2*EXP(-((A332-$A$2)^2/(2*$B$2^2)))+$C$3*EXP(-((A332-$A$3)^2/(2*$B$3^2)))+$C$4*EXP(-((A332-$A$4)^2/(2*$B$4^2)))+$C$5*EXP(-((A332-$A$5)^2/(2*$B$5^2)))+$C$6*EXP(-((A332-$A$6)^2/(2*$B$6^2)))+$C$7*EXP(-((A332-$A$7)^2/(2*$B$7^2)))</f>
        <v>0.30069087175510539</v>
      </c>
    </row>
    <row r="333" spans="1:2" x14ac:dyDescent="0.3">
      <c r="A333">
        <f t="shared" ref="A333:A342" si="11">A332+0.025</f>
        <v>14.350000000000113</v>
      </c>
      <c r="B333">
        <f t="shared" si="10"/>
        <v>0.26271827663199532</v>
      </c>
    </row>
    <row r="334" spans="1:2" x14ac:dyDescent="0.3">
      <c r="A334">
        <f t="shared" si="11"/>
        <v>14.375000000000114</v>
      </c>
      <c r="B334">
        <f t="shared" si="10"/>
        <v>0.22725715583761261</v>
      </c>
    </row>
    <row r="335" spans="1:2" x14ac:dyDescent="0.3">
      <c r="A335">
        <f t="shared" si="11"/>
        <v>14.400000000000114</v>
      </c>
      <c r="B335">
        <f t="shared" si="10"/>
        <v>0.19462656721541816</v>
      </c>
    </row>
    <row r="336" spans="1:2" x14ac:dyDescent="0.3">
      <c r="A336">
        <f t="shared" si="11"/>
        <v>14.425000000000114</v>
      </c>
      <c r="B336">
        <f t="shared" si="10"/>
        <v>0.16502284148151522</v>
      </c>
    </row>
    <row r="337" spans="1:2" x14ac:dyDescent="0.3">
      <c r="A337">
        <f t="shared" si="11"/>
        <v>14.450000000000115</v>
      </c>
      <c r="B337">
        <f t="shared" si="10"/>
        <v>0.13852992763859981</v>
      </c>
    </row>
    <row r="338" spans="1:2" x14ac:dyDescent="0.3">
      <c r="A338">
        <f t="shared" si="11"/>
        <v>14.475000000000115</v>
      </c>
      <c r="B338">
        <f t="shared" si="10"/>
        <v>0.11513336581662614</v>
      </c>
    </row>
    <row r="339" spans="1:2" x14ac:dyDescent="0.3">
      <c r="A339">
        <f t="shared" si="11"/>
        <v>14.500000000000115</v>
      </c>
      <c r="B339">
        <f t="shared" si="10"/>
        <v>9.4736573776111208E-2</v>
      </c>
    </row>
    <row r="340" spans="1:2" x14ac:dyDescent="0.3">
      <c r="A340">
        <f t="shared" si="11"/>
        <v>14.525000000000116</v>
      </c>
      <c r="B340">
        <f t="shared" si="10"/>
        <v>7.7178191043427977E-2</v>
      </c>
    </row>
    <row r="341" spans="1:2" x14ac:dyDescent="0.3">
      <c r="A341">
        <f t="shared" si="11"/>
        <v>14.550000000000116</v>
      </c>
      <c r="B341">
        <f t="shared" si="10"/>
        <v>6.2249364151570723E-2</v>
      </c>
    </row>
    <row r="342" spans="1:2" x14ac:dyDescent="0.3">
      <c r="A342">
        <f t="shared" si="11"/>
        <v>14.575000000000117</v>
      </c>
      <c r="B342">
        <f t="shared" si="10"/>
        <v>4.9710053095659089E-2</v>
      </c>
    </row>
    <row r="343" spans="1:2" x14ac:dyDescent="0.3">
      <c r="A343">
        <f>A342+0.025</f>
        <v>14.600000000000117</v>
      </c>
      <c r="B343">
        <f t="shared" si="10"/>
        <v>3.9303667238732388E-2</v>
      </c>
    </row>
    <row r="344" spans="1:2" x14ac:dyDescent="0.3">
      <c r="A344">
        <f t="shared" ref="A344:A358" si="12">A343+0.025</f>
        <v>14.625000000000117</v>
      </c>
      <c r="B344">
        <f t="shared" si="10"/>
        <v>3.0769574572916372E-2</v>
      </c>
    </row>
    <row r="345" spans="1:2" x14ac:dyDescent="0.3">
      <c r="A345">
        <f t="shared" si="12"/>
        <v>14.650000000000118</v>
      </c>
      <c r="B345">
        <f t="shared" si="10"/>
        <v>2.3853251240958204E-2</v>
      </c>
    </row>
    <row r="346" spans="1:2" x14ac:dyDescent="0.3">
      <c r="A346">
        <f t="shared" si="12"/>
        <v>14.675000000000118</v>
      </c>
      <c r="B346">
        <f t="shared" si="10"/>
        <v>1.8314033342077946E-2</v>
      </c>
    </row>
    <row r="347" spans="1:2" x14ac:dyDescent="0.3">
      <c r="A347">
        <f t="shared" si="12"/>
        <v>14.700000000000118</v>
      </c>
      <c r="B347">
        <f t="shared" si="10"/>
        <v>1.3930590567467498E-2</v>
      </c>
    </row>
    <row r="348" spans="1:2" x14ac:dyDescent="0.3">
      <c r="A348">
        <f t="shared" si="12"/>
        <v>14.725000000000119</v>
      </c>
      <c r="B348">
        <f t="shared" si="10"/>
        <v>1.0504356726827421E-2</v>
      </c>
    </row>
    <row r="349" spans="1:2" x14ac:dyDescent="0.3">
      <c r="A349">
        <f t="shared" si="12"/>
        <v>14.750000000000119</v>
      </c>
      <c r="B349">
        <f t="shared" si="10"/>
        <v>7.8612259333572312E-3</v>
      </c>
    </row>
    <row r="350" spans="1:2" x14ac:dyDescent="0.3">
      <c r="A350">
        <f t="shared" si="12"/>
        <v>14.775000000000119</v>
      </c>
      <c r="B350">
        <f t="shared" si="10"/>
        <v>5.8518588728510151E-3</v>
      </c>
    </row>
    <row r="351" spans="1:2" x14ac:dyDescent="0.3">
      <c r="A351">
        <f t="shared" si="12"/>
        <v>14.80000000000012</v>
      </c>
      <c r="B351">
        <f t="shared" si="10"/>
        <v>4.350947344876962E-3</v>
      </c>
    </row>
    <row r="352" spans="1:2" x14ac:dyDescent="0.3">
      <c r="A352">
        <f t="shared" si="12"/>
        <v>14.82500000000012</v>
      </c>
      <c r="B352">
        <f t="shared" si="10"/>
        <v>3.2557645175693584E-3</v>
      </c>
    </row>
    <row r="353" spans="1:2" x14ac:dyDescent="0.3">
      <c r="A353">
        <f t="shared" si="12"/>
        <v>14.85000000000012</v>
      </c>
      <c r="B353">
        <f t="shared" si="10"/>
        <v>2.484290697075267E-3</v>
      </c>
    </row>
    <row r="354" spans="1:2" x14ac:dyDescent="0.3">
      <c r="A354">
        <f t="shared" si="12"/>
        <v>14.875000000000121</v>
      </c>
      <c r="B354">
        <f t="shared" si="10"/>
        <v>1.9731569366817771E-3</v>
      </c>
    </row>
    <row r="355" spans="1:2" x14ac:dyDescent="0.3">
      <c r="A355">
        <f t="shared" si="12"/>
        <v>14.900000000000121</v>
      </c>
      <c r="B355">
        <f t="shared" si="10"/>
        <v>1.6755974731696818E-3</v>
      </c>
    </row>
    <row r="356" spans="1:2" x14ac:dyDescent="0.3">
      <c r="A356">
        <f t="shared" si="12"/>
        <v>14.925000000000122</v>
      </c>
      <c r="B356">
        <f t="shared" si="10"/>
        <v>1.5595513898947564E-3</v>
      </c>
    </row>
    <row r="357" spans="1:2" x14ac:dyDescent="0.3">
      <c r="A357">
        <f t="shared" si="12"/>
        <v>14.950000000000122</v>
      </c>
      <c r="B357">
        <f t="shared" si="10"/>
        <v>1.6060072523575669E-3</v>
      </c>
    </row>
    <row r="358" spans="1:2" x14ac:dyDescent="0.3">
      <c r="A358">
        <f t="shared" si="12"/>
        <v>14.975000000000122</v>
      </c>
      <c r="B358">
        <f t="shared" si="10"/>
        <v>1.8076436047765637E-3</v>
      </c>
    </row>
    <row r="359" spans="1:2" x14ac:dyDescent="0.3">
      <c r="A359">
        <f>A358+0.025</f>
        <v>15.000000000000123</v>
      </c>
      <c r="B359">
        <f t="shared" si="10"/>
        <v>2.1677839092804647E-3</v>
      </c>
    </row>
    <row r="360" spans="1:2" x14ac:dyDescent="0.3">
      <c r="A360">
        <f t="shared" ref="A360:A373" si="13">A359+0.025</f>
        <v>15.025000000000123</v>
      </c>
      <c r="B360">
        <f t="shared" si="10"/>
        <v>2.6996566711183843E-3</v>
      </c>
    </row>
    <row r="361" spans="1:2" x14ac:dyDescent="0.3">
      <c r="A361">
        <f t="shared" si="13"/>
        <v>15.050000000000123</v>
      </c>
      <c r="B361">
        <f t="shared" si="10"/>
        <v>3.4259294935392367E-3</v>
      </c>
    </row>
    <row r="362" spans="1:2" x14ac:dyDescent="0.3">
      <c r="A362">
        <f t="shared" si="13"/>
        <v>15.075000000000124</v>
      </c>
      <c r="B362">
        <f t="shared" si="10"/>
        <v>4.3784687337615046E-3</v>
      </c>
    </row>
    <row r="363" spans="1:2" x14ac:dyDescent="0.3">
      <c r="A363">
        <f t="shared" si="13"/>
        <v>15.100000000000124</v>
      </c>
      <c r="B363">
        <f t="shared" si="10"/>
        <v>5.5982633217706995E-3</v>
      </c>
    </row>
    <row r="364" spans="1:2" x14ac:dyDescent="0.3">
      <c r="A364">
        <f t="shared" si="13"/>
        <v>15.125000000000124</v>
      </c>
      <c r="B364">
        <f t="shared" si="10"/>
        <v>7.1354413115522503E-3</v>
      </c>
    </row>
    <row r="365" spans="1:2" x14ac:dyDescent="0.3">
      <c r="A365">
        <f t="shared" si="13"/>
        <v>15.150000000000125</v>
      </c>
      <c r="B365">
        <f t="shared" si="10"/>
        <v>9.0493002524626408E-3</v>
      </c>
    </row>
    <row r="366" spans="1:2" x14ac:dyDescent="0.3">
      <c r="A366">
        <f t="shared" si="13"/>
        <v>15.175000000000125</v>
      </c>
      <c r="B366">
        <f t="shared" si="10"/>
        <v>1.1408267190547702E-2</v>
      </c>
    </row>
    <row r="367" spans="1:2" x14ac:dyDescent="0.3">
      <c r="A367">
        <f t="shared" si="13"/>
        <v>15.200000000000125</v>
      </c>
      <c r="B367">
        <f t="shared" si="10"/>
        <v>1.4289701045305194E-2</v>
      </c>
    </row>
    <row r="368" spans="1:2" x14ac:dyDescent="0.3">
      <c r="A368">
        <f t="shared" si="13"/>
        <v>15.225000000000126</v>
      </c>
      <c r="B368">
        <f t="shared" si="10"/>
        <v>1.7779449554986265E-2</v>
      </c>
    </row>
    <row r="369" spans="1:2" x14ac:dyDescent="0.3">
      <c r="A369">
        <f t="shared" si="13"/>
        <v>15.250000000000126</v>
      </c>
      <c r="B369">
        <f t="shared" si="10"/>
        <v>2.1971075468947242E-2</v>
      </c>
    </row>
    <row r="370" spans="1:2" x14ac:dyDescent="0.3">
      <c r="A370">
        <f t="shared" si="13"/>
        <v>15.275000000000126</v>
      </c>
      <c r="B370">
        <f t="shared" si="10"/>
        <v>2.6964672854515814E-2</v>
      </c>
    </row>
    <row r="371" spans="1:2" x14ac:dyDescent="0.3">
      <c r="A371">
        <f t="shared" si="13"/>
        <v>15.300000000000127</v>
      </c>
      <c r="B371">
        <f t="shared" si="10"/>
        <v>3.2865204976892007E-2</v>
      </c>
    </row>
    <row r="372" spans="1:2" x14ac:dyDescent="0.3">
      <c r="A372">
        <f t="shared" si="13"/>
        <v>15.325000000000127</v>
      </c>
      <c r="B372">
        <f t="shared" si="10"/>
        <v>3.9780310816704856E-2</v>
      </c>
    </row>
    <row r="373" spans="1:2" x14ac:dyDescent="0.3">
      <c r="A373">
        <f t="shared" si="13"/>
        <v>15.350000000000128</v>
      </c>
      <c r="B373">
        <f t="shared" si="10"/>
        <v>4.7817548316413445E-2</v>
      </c>
    </row>
    <row r="374" spans="1:2" x14ac:dyDescent="0.3">
      <c r="A374">
        <f>A373+0.025</f>
        <v>15.375000000000128</v>
      </c>
      <c r="B374">
        <f t="shared" si="10"/>
        <v>5.7081068975389407E-2</v>
      </c>
    </row>
    <row r="375" spans="1:2" x14ac:dyDescent="0.3">
      <c r="A375">
        <f t="shared" ref="A375:A383" si="14">A374+0.025</f>
        <v>15.400000000000128</v>
      </c>
      <c r="B375">
        <f t="shared" si="10"/>
        <v>6.7667750101083696E-2</v>
      </c>
    </row>
    <row r="376" spans="1:2" x14ac:dyDescent="0.3">
      <c r="A376">
        <f t="shared" si="14"/>
        <v>15.425000000000129</v>
      </c>
      <c r="B376">
        <f t="shared" si="10"/>
        <v>7.9662847026927497E-2</v>
      </c>
    </row>
    <row r="377" spans="1:2" x14ac:dyDescent="0.3">
      <c r="A377">
        <f t="shared" si="14"/>
        <v>15.450000000000129</v>
      </c>
      <c r="B377">
        <f t="shared" si="10"/>
        <v>9.3135266543761086E-2</v>
      </c>
    </row>
    <row r="378" spans="1:2" x14ac:dyDescent="0.3">
      <c r="A378">
        <f t="shared" si="14"/>
        <v>15.475000000000129</v>
      </c>
      <c r="B378">
        <f t="shared" si="10"/>
        <v>0.10813260274372241</v>
      </c>
    </row>
    <row r="379" spans="1:2" x14ac:dyDescent="0.3">
      <c r="A379">
        <f t="shared" si="14"/>
        <v>15.50000000000013</v>
      </c>
      <c r="B379">
        <f t="shared" si="10"/>
        <v>0.12467611504972373</v>
      </c>
    </row>
    <row r="380" spans="1:2" x14ac:dyDescent="0.3">
      <c r="A380">
        <f t="shared" si="14"/>
        <v>15.52500000000013</v>
      </c>
      <c r="B380">
        <f t="shared" si="10"/>
        <v>0.14275586264094925</v>
      </c>
    </row>
    <row r="381" spans="1:2" x14ac:dyDescent="0.3">
      <c r="A381">
        <f t="shared" si="14"/>
        <v>15.55000000000013</v>
      </c>
      <c r="B381">
        <f t="shared" si="10"/>
        <v>0.16232623682672531</v>
      </c>
    </row>
    <row r="382" spans="1:2" x14ac:dyDescent="0.3">
      <c r="A382">
        <f t="shared" si="14"/>
        <v>15.575000000000131</v>
      </c>
      <c r="B382">
        <f t="shared" si="10"/>
        <v>0.1833021502216558</v>
      </c>
    </row>
    <row r="383" spans="1:2" x14ac:dyDescent="0.3">
      <c r="A383">
        <f t="shared" si="14"/>
        <v>15.600000000000131</v>
      </c>
      <c r="B383">
        <f t="shared" si="10"/>
        <v>0.20555614614649884</v>
      </c>
    </row>
    <row r="384" spans="1:2" x14ac:dyDescent="0.3">
      <c r="A384">
        <f>A383+0.025</f>
        <v>15.625000000000131</v>
      </c>
      <c r="B384">
        <f t="shared" si="10"/>
        <v>0.22891668135434354</v>
      </c>
    </row>
    <row r="385" spans="1:2" x14ac:dyDescent="0.3">
      <c r="A385">
        <f t="shared" ref="A385:A391" si="15">A384+0.025</f>
        <v>15.650000000000132</v>
      </c>
      <c r="B385">
        <f t="shared" si="10"/>
        <v>0.25316780856749244</v>
      </c>
    </row>
    <row r="386" spans="1:2" x14ac:dyDescent="0.3">
      <c r="A386">
        <f t="shared" si="15"/>
        <v>15.675000000000132</v>
      </c>
      <c r="B386">
        <f t="shared" si="10"/>
        <v>0.27805044201186618</v>
      </c>
    </row>
    <row r="387" spans="1:2" x14ac:dyDescent="0.3">
      <c r="A387">
        <f t="shared" si="15"/>
        <v>15.700000000000133</v>
      </c>
      <c r="B387">
        <f t="shared" si="10"/>
        <v>0.30326532992016098</v>
      </c>
    </row>
    <row r="388" spans="1:2" x14ac:dyDescent="0.3">
      <c r="A388">
        <f t="shared" si="15"/>
        <v>15.725000000000133</v>
      </c>
      <c r="B388">
        <f t="shared" si="10"/>
        <v>0.32847778485688334</v>
      </c>
    </row>
    <row r="389" spans="1:2" x14ac:dyDescent="0.3">
      <c r="A389">
        <f t="shared" si="15"/>
        <v>15.750000000000133</v>
      </c>
      <c r="B389">
        <f t="shared" si="10"/>
        <v>0.35332413894501702</v>
      </c>
    </row>
    <row r="390" spans="1:2" x14ac:dyDescent="0.3">
      <c r="A390">
        <f t="shared" si="15"/>
        <v>15.775000000000134</v>
      </c>
      <c r="B390">
        <f t="shared" si="10"/>
        <v>0.37741980100254935</v>
      </c>
    </row>
    <row r="391" spans="1:2" x14ac:dyDescent="0.3">
      <c r="A391">
        <f t="shared" si="15"/>
        <v>15.800000000000134</v>
      </c>
      <c r="B391">
        <f t="shared" si="10"/>
        <v>0.40036870146239739</v>
      </c>
    </row>
    <row r="392" spans="1:2" x14ac:dyDescent="0.3">
      <c r="A392">
        <f>A391+0.025</f>
        <v>15.825000000000134</v>
      </c>
      <c r="B392">
        <f t="shared" si="10"/>
        <v>0.42177382453410378</v>
      </c>
    </row>
    <row r="393" spans="1:2" x14ac:dyDescent="0.3">
      <c r="A393">
        <f t="shared" ref="A393:A401" si="16">A392+0.025</f>
        <v>15.850000000000135</v>
      </c>
      <c r="B393">
        <f t="shared" si="10"/>
        <v>0.44124845129329643</v>
      </c>
    </row>
    <row r="394" spans="1:2" x14ac:dyDescent="0.3">
      <c r="A394">
        <f t="shared" si="16"/>
        <v>15.875000000000135</v>
      </c>
      <c r="B394">
        <f t="shared" si="10"/>
        <v>0.45842767786652761</v>
      </c>
    </row>
    <row r="395" spans="1:2" x14ac:dyDescent="0.3">
      <c r="A395">
        <f t="shared" si="16"/>
        <v>15.900000000000135</v>
      </c>
      <c r="B395">
        <f t="shared" si="10"/>
        <v>0.47297973445365465</v>
      </c>
    </row>
    <row r="396" spans="1:2" x14ac:dyDescent="0.3">
      <c r="A396">
        <f t="shared" si="16"/>
        <v>15.925000000000136</v>
      </c>
      <c r="B396">
        <f t="shared" ref="B396:B401" si="17">$C$2*EXP(-((A396-$A$2)^2/(2*$B$2^2)))+$C$3*EXP(-((A396-$A$3)^2/(2*$B$3^2)))+$C$4*EXP(-((A396-$A$4)^2/(2*$B$4^2)))+$C$5*EXP(-((A396-$A$5)^2/(2*$B$5^2)))+$C$6*EXP(-((A396-$A$6)^2/(2*$B$6^2)))+$C$7*EXP(-((A396-$A$7)^2/(2*$B$7^2)))</f>
        <v>0.48461661723832028</v>
      </c>
    </row>
    <row r="397" spans="1:2" x14ac:dyDescent="0.3">
      <c r="A397">
        <f t="shared" si="16"/>
        <v>15.950000000000136</v>
      </c>
      <c r="B397">
        <f t="shared" si="17"/>
        <v>0.4931035583720384</v>
      </c>
    </row>
    <row r="398" spans="1:2" x14ac:dyDescent="0.3">
      <c r="A398">
        <f t="shared" si="16"/>
        <v>15.975000000000136</v>
      </c>
      <c r="B398">
        <f t="shared" si="17"/>
        <v>0.49826689948522307</v>
      </c>
    </row>
    <row r="399" spans="1:2" x14ac:dyDescent="0.3">
      <c r="A399">
        <f t="shared" si="16"/>
        <v>16.000000000000135</v>
      </c>
      <c r="B399">
        <f t="shared" si="17"/>
        <v>0.50000000000000888</v>
      </c>
    </row>
    <row r="400" spans="1:2" x14ac:dyDescent="0.3">
      <c r="A400">
        <f t="shared" si="16"/>
        <v>16.025000000000134</v>
      </c>
      <c r="B400">
        <f t="shared" si="17"/>
        <v>0.49826689948517</v>
      </c>
    </row>
    <row r="401" spans="1:2" x14ac:dyDescent="0.3">
      <c r="A401">
        <f t="shared" si="16"/>
        <v>16.050000000000132</v>
      </c>
      <c r="B401">
        <f t="shared" si="17"/>
        <v>0.49310355837192366</v>
      </c>
    </row>
  </sheetData>
  <mergeCells count="1">
    <mergeCell ref="F3:J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BA67-D1A1-4817-927D-6D502C123DDF}">
  <dimension ref="B2:N36"/>
  <sheetViews>
    <sheetView workbookViewId="0">
      <selection activeCell="L15" sqref="L15"/>
    </sheetView>
  </sheetViews>
  <sheetFormatPr baseColWidth="10" defaultRowHeight="14.4" x14ac:dyDescent="0.3"/>
  <sheetData>
    <row r="2" spans="2:14" x14ac:dyDescent="0.3">
      <c r="B2" s="2" t="s">
        <v>4</v>
      </c>
      <c r="C2" s="2"/>
      <c r="D2" s="2"/>
      <c r="F2" s="25" t="s">
        <v>5</v>
      </c>
      <c r="G2" s="26"/>
      <c r="H2" s="27"/>
      <c r="J2" s="2" t="s">
        <v>3</v>
      </c>
      <c r="K2" s="2"/>
      <c r="L2" s="2"/>
    </row>
    <row r="3" spans="2:14" ht="43.2" x14ac:dyDescent="0.3">
      <c r="B3" s="3" t="s">
        <v>34</v>
      </c>
      <c r="C3" s="5" t="s">
        <v>39</v>
      </c>
      <c r="D3" s="5" t="s">
        <v>40</v>
      </c>
      <c r="F3" s="3" t="s">
        <v>34</v>
      </c>
      <c r="G3" s="5" t="s">
        <v>39</v>
      </c>
      <c r="H3" s="5" t="s">
        <v>40</v>
      </c>
      <c r="J3" s="3" t="s">
        <v>34</v>
      </c>
      <c r="K3" s="5" t="s">
        <v>39</v>
      </c>
      <c r="L3" s="5" t="s">
        <v>40</v>
      </c>
    </row>
    <row r="4" spans="2:14" x14ac:dyDescent="0.3">
      <c r="B4" s="3">
        <v>9</v>
      </c>
      <c r="C4" s="3">
        <v>0.3</v>
      </c>
      <c r="D4" s="3">
        <v>0.6</v>
      </c>
      <c r="F4" s="3">
        <v>6.75</v>
      </c>
      <c r="G4" s="3">
        <v>0.2</v>
      </c>
      <c r="H4" s="3">
        <v>1</v>
      </c>
      <c r="J4" s="3">
        <v>9</v>
      </c>
      <c r="K4" s="3">
        <v>0.2</v>
      </c>
      <c r="L4" s="3">
        <v>0.3</v>
      </c>
    </row>
    <row r="5" spans="2:14" x14ac:dyDescent="0.3">
      <c r="B5" s="3">
        <v>11</v>
      </c>
      <c r="C5" s="3">
        <v>0.3</v>
      </c>
      <c r="D5" s="3">
        <v>0.6</v>
      </c>
      <c r="F5" s="3">
        <v>13</v>
      </c>
      <c r="G5" s="3">
        <v>0.25</v>
      </c>
      <c r="H5" s="3">
        <v>0.8</v>
      </c>
      <c r="J5" s="3">
        <v>11</v>
      </c>
      <c r="K5" s="3">
        <v>0.25</v>
      </c>
      <c r="L5" s="3">
        <v>0.5</v>
      </c>
    </row>
    <row r="6" spans="2:14" ht="23.4" x14ac:dyDescent="0.3">
      <c r="B6" s="3">
        <v>13</v>
      </c>
      <c r="C6" s="3">
        <v>0.25</v>
      </c>
      <c r="D6" s="3">
        <v>0.8</v>
      </c>
      <c r="F6" s="3">
        <v>16</v>
      </c>
      <c r="G6" s="3">
        <v>0.3</v>
      </c>
      <c r="H6" s="3">
        <v>0.5</v>
      </c>
      <c r="J6" s="3">
        <v>12</v>
      </c>
      <c r="K6" s="3">
        <v>0.3</v>
      </c>
      <c r="L6" s="3">
        <v>0.4</v>
      </c>
      <c r="N6" s="28" t="s">
        <v>5</v>
      </c>
    </row>
    <row r="7" spans="2:14" x14ac:dyDescent="0.3">
      <c r="B7" s="3">
        <v>14</v>
      </c>
      <c r="C7" s="3">
        <v>0.25</v>
      </c>
      <c r="D7" s="3">
        <v>0.7</v>
      </c>
      <c r="J7" s="3">
        <v>14</v>
      </c>
      <c r="K7" s="3">
        <v>0.25</v>
      </c>
      <c r="L7" s="3">
        <v>0.2</v>
      </c>
    </row>
    <row r="8" spans="2:14" x14ac:dyDescent="0.3">
      <c r="B8" s="3">
        <v>16</v>
      </c>
      <c r="C8" s="3">
        <v>0.3</v>
      </c>
      <c r="D8" s="3">
        <v>0.5</v>
      </c>
      <c r="G8" s="24"/>
      <c r="H8" s="24"/>
      <c r="I8" s="24"/>
      <c r="J8" s="3">
        <v>16</v>
      </c>
      <c r="K8" s="3">
        <v>0.2</v>
      </c>
      <c r="L8" s="3">
        <v>0.3</v>
      </c>
      <c r="N8" t="s">
        <v>43</v>
      </c>
    </row>
    <row r="9" spans="2:14" x14ac:dyDescent="0.3">
      <c r="G9" s="24"/>
      <c r="H9" s="24"/>
      <c r="I9" s="24"/>
      <c r="N9" s="29"/>
    </row>
    <row r="10" spans="2:14" x14ac:dyDescent="0.3">
      <c r="N10" s="29" t="s">
        <v>44</v>
      </c>
    </row>
    <row r="11" spans="2:14" x14ac:dyDescent="0.3">
      <c r="N11" s="29"/>
    </row>
    <row r="12" spans="2:14" x14ac:dyDescent="0.3">
      <c r="N12" s="29" t="s">
        <v>45</v>
      </c>
    </row>
    <row r="13" spans="2:14" x14ac:dyDescent="0.3">
      <c r="N13" s="29"/>
    </row>
    <row r="14" spans="2:14" x14ac:dyDescent="0.3">
      <c r="B14" s="2" t="s">
        <v>2</v>
      </c>
      <c r="C14" s="2"/>
      <c r="D14" s="2"/>
      <c r="F14" s="2" t="s">
        <v>1</v>
      </c>
      <c r="G14" s="2"/>
      <c r="H14" s="2"/>
      <c r="J14" s="20"/>
      <c r="K14" s="20"/>
      <c r="L14" s="20"/>
      <c r="N14" s="29" t="s">
        <v>46</v>
      </c>
    </row>
    <row r="15" spans="2:14" ht="43.2" x14ac:dyDescent="0.3">
      <c r="B15" s="3" t="s">
        <v>34</v>
      </c>
      <c r="C15" s="5" t="s">
        <v>39</v>
      </c>
      <c r="D15" s="5" t="s">
        <v>40</v>
      </c>
      <c r="F15" s="3" t="s">
        <v>34</v>
      </c>
      <c r="G15" s="5" t="s">
        <v>39</v>
      </c>
      <c r="H15" s="5" t="s">
        <v>40</v>
      </c>
      <c r="J15" s="24"/>
      <c r="K15" s="21"/>
      <c r="L15" s="21"/>
    </row>
    <row r="16" spans="2:14" ht="23.4" x14ac:dyDescent="0.3">
      <c r="B16" s="3">
        <v>6.75</v>
      </c>
      <c r="C16" s="3">
        <v>0.2</v>
      </c>
      <c r="D16" s="3">
        <v>0.8</v>
      </c>
      <c r="F16" s="3">
        <v>6.75</v>
      </c>
      <c r="G16" s="3">
        <v>0.2</v>
      </c>
      <c r="H16" s="3">
        <v>0.7</v>
      </c>
      <c r="J16" s="24"/>
      <c r="K16" s="24"/>
      <c r="L16" s="24"/>
      <c r="N16" s="28" t="s">
        <v>4</v>
      </c>
    </row>
    <row r="17" spans="2:14" x14ac:dyDescent="0.3">
      <c r="B17" s="3">
        <v>9</v>
      </c>
      <c r="C17" s="3">
        <v>0.15</v>
      </c>
      <c r="D17" s="3">
        <v>0.6</v>
      </c>
      <c r="F17" s="3">
        <v>9</v>
      </c>
      <c r="G17" s="3">
        <v>0.3</v>
      </c>
      <c r="H17" s="3">
        <v>0.6</v>
      </c>
      <c r="J17" s="24"/>
      <c r="K17" s="24"/>
      <c r="L17" s="24"/>
      <c r="N17" s="29"/>
    </row>
    <row r="18" spans="2:14" x14ac:dyDescent="0.3">
      <c r="B18" s="3">
        <v>11</v>
      </c>
      <c r="C18" s="3">
        <v>0.2</v>
      </c>
      <c r="D18" s="3">
        <v>0.5</v>
      </c>
      <c r="F18" s="3">
        <v>11</v>
      </c>
      <c r="G18" s="3">
        <v>0.3</v>
      </c>
      <c r="H18" s="3">
        <v>0.5</v>
      </c>
      <c r="J18" s="24"/>
      <c r="K18" s="24"/>
      <c r="L18" s="24"/>
      <c r="N18" s="29" t="s">
        <v>47</v>
      </c>
    </row>
    <row r="19" spans="2:14" x14ac:dyDescent="0.3">
      <c r="B19" s="3">
        <v>13</v>
      </c>
      <c r="C19" s="3">
        <v>0.18</v>
      </c>
      <c r="D19" s="3">
        <v>0.6</v>
      </c>
      <c r="F19" s="3">
        <v>13</v>
      </c>
      <c r="G19" s="3">
        <v>0.25</v>
      </c>
      <c r="H19" s="3">
        <v>0.4</v>
      </c>
      <c r="J19" s="24"/>
      <c r="K19" s="24"/>
      <c r="L19" s="24"/>
      <c r="N19" s="29"/>
    </row>
    <row r="20" spans="2:14" x14ac:dyDescent="0.3">
      <c r="B20" s="3">
        <v>14</v>
      </c>
      <c r="C20" s="3">
        <v>0.22</v>
      </c>
      <c r="D20" s="3">
        <v>0.6</v>
      </c>
      <c r="F20" s="3">
        <v>14</v>
      </c>
      <c r="G20" s="3">
        <v>0.25</v>
      </c>
      <c r="H20" s="3">
        <v>0.6</v>
      </c>
      <c r="J20" s="24"/>
      <c r="K20" s="24"/>
      <c r="L20" s="24"/>
      <c r="N20" s="29" t="s">
        <v>48</v>
      </c>
    </row>
    <row r="21" spans="2:14" x14ac:dyDescent="0.3">
      <c r="B21" s="24"/>
      <c r="C21" s="24"/>
      <c r="D21" s="24"/>
      <c r="E21" s="24"/>
      <c r="F21" s="24"/>
      <c r="G21" s="24"/>
      <c r="H21" s="24"/>
      <c r="J21" s="24"/>
      <c r="K21" s="24"/>
      <c r="L21" s="24"/>
      <c r="N21" s="29"/>
    </row>
    <row r="22" spans="2:14" x14ac:dyDescent="0.3">
      <c r="J22" s="24"/>
      <c r="K22" s="24"/>
      <c r="L22" s="24"/>
      <c r="N22" s="29" t="s">
        <v>49</v>
      </c>
    </row>
    <row r="24" spans="2:14" ht="23.4" x14ac:dyDescent="0.3">
      <c r="N24" s="28" t="s">
        <v>2</v>
      </c>
    </row>
    <row r="25" spans="2:14" x14ac:dyDescent="0.3">
      <c r="N25" s="29"/>
    </row>
    <row r="26" spans="2:14" x14ac:dyDescent="0.3">
      <c r="N26" s="29" t="s">
        <v>50</v>
      </c>
    </row>
    <row r="27" spans="2:14" x14ac:dyDescent="0.3">
      <c r="N27" s="29"/>
    </row>
    <row r="28" spans="2:14" x14ac:dyDescent="0.3">
      <c r="N28" s="29" t="s">
        <v>51</v>
      </c>
    </row>
    <row r="30" spans="2:14" ht="23.4" x14ac:dyDescent="0.3">
      <c r="N30" s="28" t="s">
        <v>1</v>
      </c>
    </row>
    <row r="31" spans="2:14" x14ac:dyDescent="0.3">
      <c r="N31" s="29"/>
    </row>
    <row r="32" spans="2:14" x14ac:dyDescent="0.3">
      <c r="N32" s="29" t="s">
        <v>52</v>
      </c>
    </row>
    <row r="33" spans="14:14" x14ac:dyDescent="0.3">
      <c r="N33" s="29"/>
    </row>
    <row r="34" spans="14:14" x14ac:dyDescent="0.3">
      <c r="N34" s="29" t="s">
        <v>53</v>
      </c>
    </row>
    <row r="35" spans="14:14" x14ac:dyDescent="0.3">
      <c r="N35" s="29"/>
    </row>
    <row r="36" spans="14:14" x14ac:dyDescent="0.3">
      <c r="N36" s="29" t="s">
        <v>54</v>
      </c>
    </row>
  </sheetData>
  <mergeCells count="6">
    <mergeCell ref="B2:D2"/>
    <mergeCell ref="F2:H2"/>
    <mergeCell ref="J2:L2"/>
    <mergeCell ref="B14:D14"/>
    <mergeCell ref="F14:H14"/>
    <mergeCell ref="J14:L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FA7E-B8BE-41E6-A921-1F8D314461BD}">
  <dimension ref="B1:H27"/>
  <sheetViews>
    <sheetView topLeftCell="A7" workbookViewId="0">
      <selection activeCell="J25" sqref="J25"/>
    </sheetView>
  </sheetViews>
  <sheetFormatPr baseColWidth="10" defaultRowHeight="14.4" x14ac:dyDescent="0.3"/>
  <sheetData>
    <row r="1" spans="2:8" x14ac:dyDescent="0.3">
      <c r="B1" s="2" t="s">
        <v>56</v>
      </c>
      <c r="C1" s="2"/>
      <c r="D1" s="2"/>
      <c r="E1" s="2"/>
      <c r="F1" s="2"/>
      <c r="G1" s="2"/>
      <c r="H1" s="31" t="s">
        <v>59</v>
      </c>
    </row>
    <row r="2" spans="2:8" ht="28.8" x14ac:dyDescent="0.3">
      <c r="B2" s="5" t="s">
        <v>55</v>
      </c>
      <c r="C2" s="3" t="s">
        <v>1</v>
      </c>
      <c r="D2" s="3" t="s">
        <v>2</v>
      </c>
      <c r="E2" s="3" t="s">
        <v>3</v>
      </c>
      <c r="F2" s="3" t="s">
        <v>5</v>
      </c>
      <c r="G2" s="3" t="s">
        <v>31</v>
      </c>
    </row>
    <row r="3" spans="2:8" x14ac:dyDescent="0.3">
      <c r="B3" s="3" t="s">
        <v>1</v>
      </c>
      <c r="C3" s="3">
        <v>0</v>
      </c>
      <c r="D3" s="3">
        <v>0</v>
      </c>
      <c r="E3" s="3">
        <v>0.1</v>
      </c>
      <c r="F3" s="3">
        <v>0.6</v>
      </c>
      <c r="G3" s="3">
        <v>0.3</v>
      </c>
      <c r="H3">
        <f>SUM(C3:G3)</f>
        <v>1</v>
      </c>
    </row>
    <row r="4" spans="2:8" x14ac:dyDescent="0.3">
      <c r="B4" s="3" t="s">
        <v>2</v>
      </c>
      <c r="C4" s="3">
        <v>0.05</v>
      </c>
      <c r="D4" s="3">
        <v>0</v>
      </c>
      <c r="E4" s="3">
        <v>0.2</v>
      </c>
      <c r="F4" s="3">
        <v>0.35</v>
      </c>
      <c r="G4" s="3">
        <v>0.4</v>
      </c>
      <c r="H4">
        <f t="shared" ref="H4:H7" si="0">SUM(C4:G4)</f>
        <v>1</v>
      </c>
    </row>
    <row r="5" spans="2:8" x14ac:dyDescent="0.3">
      <c r="B5" s="3" t="s">
        <v>3</v>
      </c>
      <c r="C5" s="3">
        <v>0.25</v>
      </c>
      <c r="D5" s="3">
        <v>0.15</v>
      </c>
      <c r="E5" s="3">
        <v>0</v>
      </c>
      <c r="F5" s="3">
        <v>0</v>
      </c>
      <c r="G5" s="3">
        <v>0.6</v>
      </c>
      <c r="H5">
        <f t="shared" si="0"/>
        <v>1</v>
      </c>
    </row>
    <row r="6" spans="2:8" x14ac:dyDescent="0.3">
      <c r="B6" s="3" t="s">
        <v>5</v>
      </c>
      <c r="C6" s="3">
        <v>0.3</v>
      </c>
      <c r="D6" s="3">
        <v>0.2</v>
      </c>
      <c r="E6" s="3">
        <v>0</v>
      </c>
      <c r="F6" s="3">
        <v>0</v>
      </c>
      <c r="G6" s="3">
        <v>0.5</v>
      </c>
      <c r="H6">
        <f t="shared" si="0"/>
        <v>1</v>
      </c>
    </row>
    <row r="7" spans="2:8" x14ac:dyDescent="0.3">
      <c r="B7" s="3" t="s">
        <v>31</v>
      </c>
      <c r="C7" s="3">
        <v>0.3</v>
      </c>
      <c r="D7" s="3">
        <v>0.2</v>
      </c>
      <c r="E7" s="3">
        <v>0.25</v>
      </c>
      <c r="F7" s="3">
        <v>0.25</v>
      </c>
      <c r="G7" s="3">
        <v>0</v>
      </c>
      <c r="H7">
        <f t="shared" si="0"/>
        <v>1</v>
      </c>
    </row>
    <row r="11" spans="2:8" x14ac:dyDescent="0.3">
      <c r="B11" s="2" t="s">
        <v>57</v>
      </c>
      <c r="C11" s="2"/>
      <c r="D11" s="2"/>
      <c r="E11" s="2"/>
      <c r="F11" s="2"/>
      <c r="G11" s="2"/>
      <c r="H11" s="32" t="s">
        <v>60</v>
      </c>
    </row>
    <row r="12" spans="2:8" ht="28.8" x14ac:dyDescent="0.3">
      <c r="B12" s="5" t="s">
        <v>55</v>
      </c>
      <c r="C12" s="3" t="s">
        <v>1</v>
      </c>
      <c r="D12" s="3" t="s">
        <v>2</v>
      </c>
      <c r="E12" s="3" t="s">
        <v>3</v>
      </c>
      <c r="F12" s="3" t="s">
        <v>5</v>
      </c>
      <c r="G12" s="3" t="s">
        <v>31</v>
      </c>
    </row>
    <row r="13" spans="2:8" x14ac:dyDescent="0.3">
      <c r="B13" s="3" t="s">
        <v>1</v>
      </c>
      <c r="C13" s="3">
        <v>0</v>
      </c>
      <c r="D13" s="3">
        <v>0.05</v>
      </c>
      <c r="E13" s="3">
        <v>0.25</v>
      </c>
      <c r="F13" s="3">
        <v>0.35</v>
      </c>
      <c r="G13" s="3">
        <v>0.35</v>
      </c>
      <c r="H13">
        <f>SUM(C13:G13)</f>
        <v>0.99999999999999989</v>
      </c>
    </row>
    <row r="14" spans="2:8" x14ac:dyDescent="0.3">
      <c r="B14" s="3" t="s">
        <v>2</v>
      </c>
      <c r="C14" s="3">
        <v>0.12</v>
      </c>
      <c r="D14" s="3">
        <v>0</v>
      </c>
      <c r="E14" s="3">
        <v>0.3</v>
      </c>
      <c r="F14" s="3">
        <v>0.12</v>
      </c>
      <c r="G14" s="3">
        <v>0.46</v>
      </c>
      <c r="H14">
        <f t="shared" ref="H14:H17" si="1">SUM(C14:G14)</f>
        <v>1</v>
      </c>
    </row>
    <row r="15" spans="2:8" x14ac:dyDescent="0.3">
      <c r="B15" s="3" t="s">
        <v>3</v>
      </c>
      <c r="C15" s="3">
        <v>0.32</v>
      </c>
      <c r="D15" s="3">
        <v>0.12</v>
      </c>
      <c r="E15" s="3">
        <v>0</v>
      </c>
      <c r="F15" s="3">
        <v>0.15</v>
      </c>
      <c r="G15" s="3">
        <v>0.41</v>
      </c>
      <c r="H15">
        <f t="shared" si="1"/>
        <v>1</v>
      </c>
    </row>
    <row r="16" spans="2:8" x14ac:dyDescent="0.3">
      <c r="B16" s="3" t="s">
        <v>5</v>
      </c>
      <c r="C16" s="3">
        <v>0.35</v>
      </c>
      <c r="D16" s="3">
        <v>0.4</v>
      </c>
      <c r="E16" s="3">
        <v>0</v>
      </c>
      <c r="F16" s="3">
        <v>0</v>
      </c>
      <c r="G16" s="3">
        <v>0.25</v>
      </c>
      <c r="H16">
        <f t="shared" si="1"/>
        <v>1</v>
      </c>
    </row>
    <row r="17" spans="2:8" x14ac:dyDescent="0.3">
      <c r="B17" s="3" t="s">
        <v>31</v>
      </c>
      <c r="C17" s="3">
        <v>0.35</v>
      </c>
      <c r="D17" s="3">
        <v>0.28000000000000003</v>
      </c>
      <c r="E17" s="3">
        <v>0.27</v>
      </c>
      <c r="F17" s="3">
        <v>0.1</v>
      </c>
      <c r="G17" s="3">
        <v>0</v>
      </c>
      <c r="H17">
        <f t="shared" si="1"/>
        <v>1</v>
      </c>
    </row>
    <row r="21" spans="2:8" x14ac:dyDescent="0.3">
      <c r="B21" s="30" t="s">
        <v>58</v>
      </c>
      <c r="C21" s="30"/>
      <c r="D21" s="30"/>
      <c r="E21" s="30"/>
      <c r="F21" s="30"/>
      <c r="G21" s="30"/>
      <c r="H21" t="s">
        <v>61</v>
      </c>
    </row>
    <row r="22" spans="2:8" ht="28.8" x14ac:dyDescent="0.3">
      <c r="B22" s="7" t="s">
        <v>55</v>
      </c>
      <c r="C22" s="6" t="s">
        <v>1</v>
      </c>
      <c r="D22" s="6" t="s">
        <v>2</v>
      </c>
      <c r="E22" s="6" t="s">
        <v>3</v>
      </c>
      <c r="F22" s="6" t="s">
        <v>5</v>
      </c>
      <c r="G22" s="6" t="s">
        <v>31</v>
      </c>
    </row>
    <row r="23" spans="2:8" x14ac:dyDescent="0.3">
      <c r="B23" s="6" t="s">
        <v>1</v>
      </c>
      <c r="C23" s="6">
        <v>0</v>
      </c>
      <c r="D23" s="6">
        <v>0.22</v>
      </c>
      <c r="E23" s="6">
        <v>0.35</v>
      </c>
      <c r="F23" s="6">
        <v>0.15</v>
      </c>
      <c r="G23" s="6">
        <v>0.28000000000000003</v>
      </c>
      <c r="H23">
        <f>SUM(C23:G23)</f>
        <v>1</v>
      </c>
    </row>
    <row r="24" spans="2:8" x14ac:dyDescent="0.3">
      <c r="B24" s="6" t="s">
        <v>2</v>
      </c>
      <c r="C24" s="6">
        <v>0.12</v>
      </c>
      <c r="D24" s="6">
        <v>0</v>
      </c>
      <c r="E24" s="6">
        <v>0.35</v>
      </c>
      <c r="F24" s="6">
        <v>0.42</v>
      </c>
      <c r="G24" s="6">
        <v>0.11</v>
      </c>
      <c r="H24">
        <f t="shared" ref="H24:H27" si="2">SUM(C24:G24)</f>
        <v>0.99999999999999989</v>
      </c>
    </row>
    <row r="25" spans="2:8" x14ac:dyDescent="0.3">
      <c r="B25" s="6" t="s">
        <v>3</v>
      </c>
      <c r="C25" s="6">
        <v>0.25</v>
      </c>
      <c r="D25" s="6">
        <v>0.15</v>
      </c>
      <c r="E25" s="6">
        <v>0</v>
      </c>
      <c r="F25" s="6">
        <v>0.28000000000000003</v>
      </c>
      <c r="G25" s="6">
        <v>0.32</v>
      </c>
      <c r="H25">
        <f t="shared" si="2"/>
        <v>1</v>
      </c>
    </row>
    <row r="26" spans="2:8" x14ac:dyDescent="0.3">
      <c r="B26" s="6" t="s">
        <v>5</v>
      </c>
      <c r="C26" s="6">
        <v>0.3</v>
      </c>
      <c r="D26" s="6">
        <v>0.12</v>
      </c>
      <c r="E26" s="6">
        <v>0.05</v>
      </c>
      <c r="F26" s="6">
        <v>0</v>
      </c>
      <c r="G26" s="6">
        <v>0.53</v>
      </c>
      <c r="H26">
        <f t="shared" si="2"/>
        <v>1</v>
      </c>
    </row>
    <row r="27" spans="2:8" x14ac:dyDescent="0.3">
      <c r="B27" s="6" t="s">
        <v>31</v>
      </c>
      <c r="C27" s="6">
        <v>0.45</v>
      </c>
      <c r="D27" s="6">
        <v>0.22500000000000001</v>
      </c>
      <c r="E27" s="6">
        <v>0.32</v>
      </c>
      <c r="F27" s="6">
        <v>5.0000000000000001E-3</v>
      </c>
      <c r="G27" s="6">
        <v>0</v>
      </c>
      <c r="H27">
        <f t="shared" si="2"/>
        <v>1</v>
      </c>
    </row>
  </sheetData>
  <mergeCells count="3">
    <mergeCell ref="B1:G1"/>
    <mergeCell ref="B11:G11"/>
    <mergeCell ref="B21:G21"/>
  </mergeCells>
  <pageMargins left="0.7" right="0.7" top="0.75" bottom="0.75" header="0.3" footer="0.3"/>
  <pageSetup orientation="portrait" r:id="rId1"/>
  <ignoredErrors>
    <ignoredError sqref="H1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Modelo Gaussiano</vt:lpstr>
      <vt:lpstr>HORAS PICO EN ESTACIONES</vt:lpstr>
      <vt:lpstr>Matrices de probabilidad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medina</dc:creator>
  <cp:lastModifiedBy>camilo medina</cp:lastModifiedBy>
  <dcterms:created xsi:type="dcterms:W3CDTF">2025-11-26T15:52:09Z</dcterms:created>
  <dcterms:modified xsi:type="dcterms:W3CDTF">2025-11-26T23:13:21Z</dcterms:modified>
</cp:coreProperties>
</file>